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1 งานฝึก ปี 69\0 ต้นทางเอกสารฝึก\"/>
    </mc:Choice>
  </mc:AlternateContent>
  <xr:revisionPtr revIDLastSave="0" documentId="13_ncr:1_{4E34CAC2-9A46-49E5-B853-7B90C1626B7E}" xr6:coauthVersionLast="47" xr6:coauthVersionMax="47" xr10:uidLastSave="{00000000-0000-0000-0000-000000000000}"/>
  <bookViews>
    <workbookView xWindow="-120" yWindow="-120" windowWidth="29040" windowHeight="15840" tabRatio="758" activeTab="2" xr2:uid="{7342F25C-79A8-4210-85E4-2BD35F6C8E52}"/>
  </bookViews>
  <sheets>
    <sheet name="รายการฝึก" sheetId="4" r:id="rId1"/>
    <sheet name="รายการผู้สมัคร" sheetId="15" r:id="rId2"/>
    <sheet name="รายการยืมเงิน" sheetId="12" r:id="rId3"/>
    <sheet name="ข้อมูลเอกสารฝึก" sheetId="10" r:id="rId4"/>
    <sheet name="ข้อมุลเอกสารยืมเงิน" sheetId="11" r:id="rId5"/>
    <sheet name="ใบสำคัญรับเงินวิทยากร" sheetId="7" r:id="rId6"/>
    <sheet name="Sheet1" sheetId="17" r:id="rId7"/>
    <sheet name="หลักสูตร" sheetId="5" r:id="rId8"/>
    <sheet name="สถานที่ฝึก" sheetId="6" r:id="rId9"/>
    <sheet name="วิทยากร" sheetId="2" r:id="rId10"/>
    <sheet name="รายการค่าใช้จ่าย" sheetId="16" r:id="rId11"/>
    <sheet name="กิจกรรม" sheetId="1" r:id="rId12"/>
    <sheet name="วิทยากร เก่า" sheetId="14" r:id="rId13"/>
    <sheet name="เจ้าหน้าที่" sheetId="3" r:id="rId14"/>
    <sheet name="สูตร" sheetId="9" r:id="rId15"/>
  </sheets>
  <definedNames>
    <definedName name="_xlnm._FilterDatabase" localSheetId="13" hidden="1">เจ้าหน้าที่!$A$2:$I$2</definedName>
    <definedName name="_xlnm._FilterDatabase" localSheetId="1" hidden="1">รายการผู้สมัคร!$A$1:$G$157</definedName>
    <definedName name="_xlnm._FilterDatabase" localSheetId="9" hidden="1">วิทยากร!$A$2:$M$2</definedName>
    <definedName name="_xlnm._FilterDatabase" localSheetId="7" hidden="1">หลักสูตร!$A$2:$F$2</definedName>
    <definedName name="_xlnm.Print_Area" localSheetId="6">Sheet1!$A$1:$I$35</definedName>
    <definedName name="_xlnm.Print_Area" localSheetId="5">ใบสำคัญรับเงินวิทยากร!$A$1:$I$31</definedName>
    <definedName name="กิจกรรมฝึก">กิจกรรม!$B$3:$O$30</definedName>
    <definedName name="เจ้าหน้าที่">เจ้าหน้าที่!$C$3:$D$41</definedName>
    <definedName name="ชื่อกิจกรรม">กิจกรรม!$B$3:$B$30</definedName>
    <definedName name="ชื่อเจ้าหน้าที่">เจ้าหน้าที่!$C$3:$C$43</definedName>
    <definedName name="ชื่อวิทยากร">วิทยากร!$C$3:$C$70</definedName>
    <definedName name="ชื่อสถานที่ฝึก">สถานที่ฝึก!$B$3:$B$33</definedName>
    <definedName name="ชื่อหลักสูตร">หลักสูตร!$B$3:$B$62</definedName>
    <definedName name="ผล">OFFSET(รายการผู้สมัคร!$G$2,0,0,COUNTA(รายการผู้สมัคร!$B:$B),1)</definedName>
    <definedName name="ผู้สมัครรุ่นที่ฝึก">OFFSET(รายการผู้สมัคร!$B$2,0,0,COUNTA(รายการผู้สมัคร!$B:$B),1)</definedName>
    <definedName name="เพศ">OFFSET(รายการผู้สมัคร!$B$2,0,4,COUNTA(รายการผู้สมัคร!$B:$B),1)</definedName>
    <definedName name="รายการผู้สมัคร">รายการผู้สมัคร!$A:$K</definedName>
    <definedName name="รายการฝึก">OFFSET(รายการฝึก!$A$3,0,0,COUNTA(รายการฝึก!$A:$A),27)</definedName>
    <definedName name="รายการยืมเงิน">รายการยืมเงิน!$B$3:$O$30</definedName>
    <definedName name="รุ่นที่ฝึก">รายการฝึก!$A$3:$A$67</definedName>
    <definedName name="วิทยากร">วิทยากร!$C$3:$M$70</definedName>
    <definedName name="หลักสูตร">หลักสูตร!$B$3:$E$62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6" i="15" l="1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25" i="15"/>
  <c r="F126" i="15"/>
  <c r="F127" i="15"/>
  <c r="F128" i="15"/>
  <c r="F129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05" i="15" l="1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X3" i="4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842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X64" i="4"/>
  <c r="Y64" i="4"/>
  <c r="Z64" i="4"/>
  <c r="Z62" i="4"/>
  <c r="X58" i="4"/>
  <c r="Y58" i="4"/>
  <c r="Z58" i="4"/>
  <c r="X59" i="4"/>
  <c r="X60" i="4"/>
  <c r="X61" i="4"/>
  <c r="X62" i="4"/>
  <c r="X63" i="4"/>
  <c r="Y63" i="4"/>
  <c r="Z63" i="4"/>
  <c r="X65" i="4"/>
  <c r="Y65" i="4"/>
  <c r="Z65" i="4"/>
  <c r="Y3" i="4" l="1"/>
  <c r="Z3" i="4"/>
  <c r="Y60" i="4"/>
  <c r="Y62" i="4"/>
  <c r="Z60" i="4"/>
  <c r="Z59" i="4"/>
  <c r="Y59" i="4"/>
  <c r="Y61" i="4" l="1"/>
  <c r="Z61" i="4"/>
  <c r="X57" i="4"/>
  <c r="Y57" i="4"/>
  <c r="Z57" i="4"/>
  <c r="X53" i="4" l="1"/>
  <c r="Y53" i="4"/>
  <c r="Z53" i="4"/>
  <c r="X54" i="4"/>
  <c r="Y54" i="4"/>
  <c r="X55" i="4"/>
  <c r="Y55" i="4"/>
  <c r="Z55" i="4"/>
  <c r="Z54" i="4" l="1"/>
  <c r="X51" i="4"/>
  <c r="Y51" i="4"/>
  <c r="Z51" i="4"/>
  <c r="X46" i="4" l="1"/>
  <c r="Y46" i="4"/>
  <c r="Z46" i="4"/>
  <c r="X47" i="4"/>
  <c r="X48" i="4"/>
  <c r="Y48" i="4"/>
  <c r="Z48" i="4"/>
  <c r="X49" i="4"/>
  <c r="Y49" i="4"/>
  <c r="Z49" i="4"/>
  <c r="X45" i="4" l="1"/>
  <c r="X50" i="4"/>
  <c r="Y50" i="4"/>
  <c r="Z50" i="4"/>
  <c r="X52" i="4"/>
  <c r="Y52" i="4"/>
  <c r="Z52" i="4"/>
  <c r="X43" i="4"/>
  <c r="Y43" i="4"/>
  <c r="Z43" i="4"/>
  <c r="X44" i="4"/>
  <c r="Y44" i="4"/>
  <c r="Z44" i="4"/>
  <c r="X56" i="4"/>
  <c r="Y56" i="4"/>
  <c r="Z56" i="4"/>
  <c r="X41" i="4"/>
  <c r="X42" i="4"/>
  <c r="Y42" i="4"/>
  <c r="Z42" i="4"/>
  <c r="Y45" i="4" l="1"/>
  <c r="Y41" i="4"/>
  <c r="Z45" i="4"/>
  <c r="Z41" i="4"/>
  <c r="Y47" i="4"/>
  <c r="Z47" i="4"/>
  <c r="X39" i="4" l="1"/>
  <c r="Y39" i="4"/>
  <c r="Z39" i="4"/>
  <c r="X40" i="4"/>
  <c r="Y40" i="4"/>
  <c r="Z40" i="4"/>
  <c r="X66" i="4"/>
  <c r="Y66" i="4"/>
  <c r="Z66" i="4"/>
  <c r="X37" i="4"/>
  <c r="Y37" i="4"/>
  <c r="Z37" i="4"/>
  <c r="X38" i="4"/>
  <c r="Y38" i="4"/>
  <c r="Z38" i="4"/>
  <c r="X34" i="4"/>
  <c r="Y34" i="4"/>
  <c r="Z34" i="4"/>
  <c r="X35" i="4"/>
  <c r="Y35" i="4"/>
  <c r="Z35" i="4"/>
  <c r="A2" i="10" l="1"/>
  <c r="H26" i="17" l="1"/>
  <c r="E28" i="17" s="1"/>
  <c r="Y30" i="4" l="1"/>
  <c r="X33" i="4"/>
  <c r="Y33" i="4"/>
  <c r="Z33" i="4"/>
  <c r="X36" i="4"/>
  <c r="Y36" i="4"/>
  <c r="Z36" i="4"/>
  <c r="X29" i="4"/>
  <c r="X30" i="4"/>
  <c r="X31" i="4"/>
  <c r="Y31" i="4"/>
  <c r="Z31" i="4"/>
  <c r="X32" i="4"/>
  <c r="Y32" i="4"/>
  <c r="Z32" i="4"/>
  <c r="Z29" i="4" l="1"/>
  <c r="Z30" i="4"/>
  <c r="Y29" i="4"/>
  <c r="F1" i="16"/>
  <c r="G1" i="16"/>
  <c r="H1" i="16"/>
  <c r="E1" i="16"/>
  <c r="X25" i="4" l="1"/>
  <c r="Y25" i="4"/>
  <c r="Z25" i="4"/>
  <c r="X26" i="4"/>
  <c r="Y26" i="4"/>
  <c r="Z26" i="4"/>
  <c r="X27" i="4"/>
  <c r="Y27" i="4"/>
  <c r="Z27" i="4"/>
  <c r="C23" i="16" l="1"/>
  <c r="I14" i="16" l="1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B2" i="11" l="1"/>
  <c r="B28" i="16"/>
  <c r="C28" i="16"/>
  <c r="D28" i="16"/>
  <c r="B29" i="16"/>
  <c r="C29" i="16"/>
  <c r="D29" i="16"/>
  <c r="B23" i="16"/>
  <c r="D23" i="16"/>
  <c r="B24" i="16"/>
  <c r="C24" i="16"/>
  <c r="D24" i="16"/>
  <c r="B25" i="16"/>
  <c r="C25" i="16"/>
  <c r="D25" i="16"/>
  <c r="B26" i="16"/>
  <c r="C26" i="16"/>
  <c r="D26" i="16"/>
  <c r="B27" i="16"/>
  <c r="C27" i="16"/>
  <c r="D27" i="16"/>
  <c r="I3" i="16"/>
  <c r="I4" i="16"/>
  <c r="I5" i="16"/>
  <c r="I7" i="16" l="1"/>
  <c r="I8" i="16"/>
  <c r="I9" i="16"/>
  <c r="I10" i="16"/>
  <c r="I11" i="16"/>
  <c r="I12" i="16"/>
  <c r="I13" i="16"/>
  <c r="I6" i="16"/>
  <c r="I1" i="16" s="1"/>
  <c r="B16" i="16"/>
  <c r="C16" i="16"/>
  <c r="D16" i="16"/>
  <c r="B17" i="16"/>
  <c r="C17" i="16"/>
  <c r="D17" i="16"/>
  <c r="B18" i="16"/>
  <c r="C18" i="16"/>
  <c r="D18" i="16"/>
  <c r="B19" i="16"/>
  <c r="C19" i="16"/>
  <c r="D19" i="16"/>
  <c r="B20" i="16"/>
  <c r="C20" i="16"/>
  <c r="D20" i="16"/>
  <c r="B21" i="16"/>
  <c r="C21" i="16"/>
  <c r="D21" i="16"/>
  <c r="B22" i="16"/>
  <c r="C22" i="16"/>
  <c r="D22" i="16"/>
  <c r="C7" i="16"/>
  <c r="D7" i="16"/>
  <c r="C8" i="16"/>
  <c r="D8" i="16"/>
  <c r="C9" i="16"/>
  <c r="D9" i="16"/>
  <c r="C10" i="16"/>
  <c r="D10" i="16"/>
  <c r="C11" i="16"/>
  <c r="D11" i="16"/>
  <c r="C12" i="16"/>
  <c r="D12" i="16"/>
  <c r="C13" i="16"/>
  <c r="D13" i="16"/>
  <c r="C14" i="16"/>
  <c r="D14" i="16"/>
  <c r="C15" i="16"/>
  <c r="D15" i="16"/>
  <c r="D6" i="16"/>
  <c r="C6" i="16"/>
  <c r="B6" i="16"/>
  <c r="B7" i="16"/>
  <c r="B8" i="16"/>
  <c r="B9" i="16"/>
  <c r="B10" i="16"/>
  <c r="B11" i="16"/>
  <c r="B12" i="16"/>
  <c r="B13" i="16"/>
  <c r="B14" i="16"/>
  <c r="B15" i="16"/>
  <c r="X17" i="4"/>
  <c r="X20" i="4"/>
  <c r="Y20" i="4"/>
  <c r="Z20" i="4"/>
  <c r="X21" i="4"/>
  <c r="Y21" i="4"/>
  <c r="Z21" i="4"/>
  <c r="X24" i="4"/>
  <c r="Y24" i="4"/>
  <c r="Z24" i="4"/>
  <c r="X19" i="4"/>
  <c r="Y19" i="4"/>
  <c r="Z19" i="4"/>
  <c r="X22" i="4"/>
  <c r="Y22" i="4"/>
  <c r="Z22" i="4"/>
  <c r="X23" i="4"/>
  <c r="Y23" i="4"/>
  <c r="Z23" i="4"/>
  <c r="X12" i="4"/>
  <c r="Y12" i="4"/>
  <c r="Z12" i="4"/>
  <c r="X13" i="4"/>
  <c r="Y13" i="4"/>
  <c r="Z13" i="4"/>
  <c r="X14" i="4"/>
  <c r="Y14" i="4"/>
  <c r="Z14" i="4"/>
  <c r="X15" i="4"/>
  <c r="Y15" i="4"/>
  <c r="Z15" i="4"/>
  <c r="X16" i="4"/>
  <c r="Y16" i="4"/>
  <c r="Z16" i="4"/>
  <c r="X28" i="4"/>
  <c r="Y28" i="4"/>
  <c r="Z28" i="4"/>
  <c r="X10" i="4"/>
  <c r="X11" i="4"/>
  <c r="Y11" i="4"/>
  <c r="Z11" i="4"/>
  <c r="X18" i="4"/>
  <c r="Y18" i="4"/>
  <c r="Z18" i="4"/>
  <c r="E7" i="7"/>
  <c r="Z17" i="4" l="1"/>
  <c r="Y17" i="4"/>
  <c r="Y10" i="4"/>
  <c r="Z10" i="4"/>
  <c r="AE2" i="11"/>
  <c r="AU2" i="10"/>
  <c r="X5" i="4"/>
  <c r="X6" i="4"/>
  <c r="Y6" i="4"/>
  <c r="Z6" i="4"/>
  <c r="X7" i="4"/>
  <c r="X8" i="4"/>
  <c r="Y8" i="4"/>
  <c r="Z8" i="4"/>
  <c r="X9" i="4"/>
  <c r="Y9" i="4"/>
  <c r="Z9" i="4"/>
  <c r="X4" i="4"/>
  <c r="F2" i="15"/>
  <c r="E27" i="7"/>
  <c r="A18" i="7"/>
  <c r="A16" i="7"/>
  <c r="B15" i="7"/>
  <c r="A17" i="7" s="1"/>
  <c r="C8" i="7"/>
  <c r="B9" i="7" s="1"/>
  <c r="K10" i="7"/>
  <c r="B5" i="7" s="1"/>
  <c r="CV3" i="10" l="1" a="1"/>
  <c r="CV3" i="10" s="1"/>
  <c r="CV2" i="10" s="1"/>
  <c r="BB3" i="10" a="1"/>
  <c r="BB3" i="10" s="1"/>
  <c r="BB2" i="10" s="1"/>
  <c r="CU3" i="10" a="1"/>
  <c r="CU3" i="10" s="1"/>
  <c r="CU2" i="10" s="1"/>
  <c r="BU3" i="10" a="1"/>
  <c r="BU3" i="10" s="1"/>
  <c r="BU2" i="10" s="1"/>
  <c r="BT3" i="10" a="1"/>
  <c r="BT3" i="10" s="1"/>
  <c r="BT2" i="10" s="1"/>
  <c r="AY3" i="10" a="1"/>
  <c r="AY3" i="10" s="1"/>
  <c r="AY2" i="10" s="1"/>
  <c r="BO3" i="10" a="1"/>
  <c r="BO3" i="10" s="1"/>
  <c r="BO2" i="10" s="1"/>
  <c r="BA3" i="10" a="1"/>
  <c r="BA3" i="10" s="1"/>
  <c r="BA2" i="10" s="1"/>
  <c r="BN3" i="10" a="1"/>
  <c r="BN3" i="10" s="1"/>
  <c r="BN2" i="10" s="1"/>
  <c r="BJ3" i="10" a="1"/>
  <c r="BJ3" i="10" s="1"/>
  <c r="BJ2" i="10" s="1"/>
  <c r="BF3" i="10" a="1"/>
  <c r="BF3" i="10" s="1"/>
  <c r="BF2" i="10" s="1"/>
  <c r="BI3" i="10" a="1"/>
  <c r="BI3" i="10" s="1"/>
  <c r="BI2" i="10" s="1"/>
  <c r="BH3" i="10" a="1"/>
  <c r="BH3" i="10" s="1"/>
  <c r="BH2" i="10" s="1"/>
  <c r="BY3" i="10" a="1"/>
  <c r="BY3" i="10" s="1"/>
  <c r="BY2" i="10" s="1"/>
  <c r="BX3" i="10" a="1"/>
  <c r="BX3" i="10" s="1"/>
  <c r="BX2" i="10" s="1"/>
  <c r="BZ3" i="10" a="1"/>
  <c r="BZ3" i="10" s="1"/>
  <c r="BZ2" i="10" s="1"/>
  <c r="BV3" i="10" a="1"/>
  <c r="BV3" i="10" s="1"/>
  <c r="BV2" i="10" s="1"/>
  <c r="CF3" i="10" a="1"/>
  <c r="CF3" i="10" s="1"/>
  <c r="CF2" i="10" s="1"/>
  <c r="CE3" i="10" a="1"/>
  <c r="CE3" i="10" s="1"/>
  <c r="CE2" i="10" s="1"/>
  <c r="CP3" i="10" a="1"/>
  <c r="CP3" i="10" s="1"/>
  <c r="CP2" i="10" s="1"/>
  <c r="CO3" i="10" a="1"/>
  <c r="CO3" i="10" s="1"/>
  <c r="CO2" i="10" s="1"/>
  <c r="CK3" i="10" a="1"/>
  <c r="CK3" i="10" s="1"/>
  <c r="CK2" i="10" s="1"/>
  <c r="CJ3" i="10" a="1"/>
  <c r="CJ3" i="10" s="1"/>
  <c r="CJ2" i="10" s="1"/>
  <c r="CG3" i="10" a="1"/>
  <c r="CG3" i="10" s="1"/>
  <c r="CG2" i="10" s="1"/>
  <c r="AZ3" i="10" a="1"/>
  <c r="AZ3" i="10" s="1"/>
  <c r="AZ2" i="10" s="1"/>
  <c r="BM3" i="10" a="1"/>
  <c r="BM3" i="10" s="1"/>
  <c r="BM2" i="10" s="1"/>
  <c r="CN3" i="10" a="1"/>
  <c r="CN3" i="10" s="1"/>
  <c r="CN2" i="10" s="1"/>
  <c r="CB3" i="10" a="1"/>
  <c r="CB3" i="10" s="1"/>
  <c r="CB2" i="10" s="1"/>
  <c r="BL3" i="10" a="1"/>
  <c r="BL3" i="10" s="1"/>
  <c r="BL2" i="10" s="1"/>
  <c r="CM3" i="10" a="1"/>
  <c r="CM3" i="10" s="1"/>
  <c r="CM2" i="10" s="1"/>
  <c r="CA3" i="10" a="1"/>
  <c r="CA3" i="10" s="1"/>
  <c r="CA2" i="10" s="1"/>
  <c r="BK3" i="10" a="1"/>
  <c r="BK3" i="10" s="1"/>
  <c r="BK2" i="10" s="1"/>
  <c r="CL3" i="10" a="1"/>
  <c r="CL3" i="10" s="1"/>
  <c r="CL2" i="10" s="1"/>
  <c r="CI3" i="10" a="1"/>
  <c r="CI3" i="10" s="1"/>
  <c r="CI2" i="10" s="1"/>
  <c r="BW3" i="10" a="1"/>
  <c r="BW3" i="10" s="1"/>
  <c r="BW2" i="10" s="1"/>
  <c r="BG3" i="10" a="1"/>
  <c r="BG3" i="10" s="1"/>
  <c r="BG2" i="10" s="1"/>
  <c r="CH3" i="10" a="1"/>
  <c r="CH3" i="10" s="1"/>
  <c r="CH2" i="10" s="1"/>
  <c r="BS3" i="10" a="1"/>
  <c r="BS3" i="10" s="1"/>
  <c r="BS2" i="10" s="1"/>
  <c r="CS3" i="10" a="1"/>
  <c r="CS3" i="10" s="1"/>
  <c r="CS2" i="10" s="1"/>
  <c r="BQ3" i="10" a="1"/>
  <c r="BQ3" i="10" s="1"/>
  <c r="BQ2" i="10" s="1"/>
  <c r="CR3" i="10" a="1"/>
  <c r="CR3" i="10" s="1"/>
  <c r="CR2" i="10" s="1"/>
  <c r="B2" i="10"/>
  <c r="CT3" i="10" a="1"/>
  <c r="CT3" i="10" s="1"/>
  <c r="CT2" i="10" s="1"/>
  <c r="CD3" i="10" a="1"/>
  <c r="CD3" i="10" s="1"/>
  <c r="CD2" i="10" s="1"/>
  <c r="BE3" i="10" a="1"/>
  <c r="BE3" i="10" s="1"/>
  <c r="BE2" i="10" s="1"/>
  <c r="BR3" i="10" a="1"/>
  <c r="BR3" i="10" s="1"/>
  <c r="BR2" i="10" s="1"/>
  <c r="CC3" i="10" a="1"/>
  <c r="CC3" i="10" s="1"/>
  <c r="CC2" i="10" s="1"/>
  <c r="BD3" i="10" a="1"/>
  <c r="BD3" i="10" s="1"/>
  <c r="BD2" i="10" s="1"/>
  <c r="BC3" i="10" a="1"/>
  <c r="BC3" i="10" s="1"/>
  <c r="BC2" i="10" s="1"/>
  <c r="BP3" i="10" a="1"/>
  <c r="BP3" i="10" s="1"/>
  <c r="BP2" i="10" s="1"/>
  <c r="CQ3" i="10" a="1"/>
  <c r="CQ3" i="10" s="1"/>
  <c r="CQ2" i="10" s="1"/>
  <c r="Y4" i="4"/>
  <c r="Y7" i="4"/>
  <c r="M2" i="11"/>
  <c r="AF2" i="11"/>
  <c r="AD2" i="11"/>
  <c r="AG2" i="11"/>
  <c r="AC2" i="11"/>
  <c r="Z4" i="4"/>
  <c r="Y5" i="4"/>
  <c r="Z7" i="4"/>
  <c r="C2" i="11"/>
  <c r="D2" i="11"/>
  <c r="E2" i="11" s="1"/>
  <c r="AV2" i="10"/>
  <c r="Z5" i="4"/>
  <c r="H13" i="7"/>
  <c r="A19" i="7"/>
  <c r="A14" i="7"/>
  <c r="L2" i="11"/>
  <c r="R2" i="11"/>
  <c r="Q2" i="11"/>
  <c r="P2" i="11"/>
  <c r="O2" i="11"/>
  <c r="N2" i="11"/>
  <c r="H2" i="11"/>
  <c r="AB2" i="11" s="1"/>
  <c r="I2" i="11"/>
  <c r="K2" i="11" s="1"/>
  <c r="F2" i="11"/>
  <c r="D2" i="10"/>
  <c r="AD2" i="10"/>
  <c r="AC2" i="10"/>
  <c r="AB2" i="10"/>
  <c r="AA2" i="10"/>
  <c r="Z2" i="10"/>
  <c r="Y2" i="10"/>
  <c r="W2" i="10"/>
  <c r="U2" i="10"/>
  <c r="S2" i="10"/>
  <c r="Q2" i="10"/>
  <c r="R2" i="10" s="1"/>
  <c r="O2" i="10"/>
  <c r="N2" i="10"/>
  <c r="M2" i="10"/>
  <c r="L2" i="10"/>
  <c r="K2" i="10"/>
  <c r="J2" i="10"/>
  <c r="E2" i="10"/>
  <c r="F2" i="10"/>
  <c r="G2" i="11"/>
  <c r="AX2" i="10" l="1"/>
  <c r="AT2" i="10"/>
  <c r="AS2" i="10"/>
  <c r="AW2" i="10"/>
  <c r="AH2" i="11"/>
  <c r="AI2" i="11"/>
  <c r="AM2" i="10"/>
  <c r="AN2" i="10"/>
  <c r="AO2" i="10"/>
  <c r="AP2" i="10"/>
  <c r="AQ2" i="10"/>
  <c r="AR2" i="10"/>
  <c r="S2" i="11"/>
  <c r="T2" i="11"/>
  <c r="W2" i="11"/>
  <c r="J2" i="11"/>
  <c r="AA2" i="11"/>
  <c r="X2" i="11"/>
  <c r="Y2" i="11"/>
  <c r="Z2" i="11"/>
  <c r="F8" i="7"/>
  <c r="X2" i="10"/>
  <c r="V2" i="10"/>
  <c r="T2" i="10"/>
  <c r="P2" i="10"/>
  <c r="H2" i="10"/>
  <c r="C2" i="10"/>
  <c r="AJ2" i="11" l="1"/>
  <c r="AK2" i="11" s="1"/>
  <c r="U2" i="11"/>
  <c r="AJ2" i="10"/>
  <c r="AG2" i="10"/>
  <c r="AH2" i="10" s="1"/>
  <c r="AI2" i="10"/>
  <c r="AE2" i="10"/>
  <c r="AF2" i="10" s="1"/>
  <c r="G2" i="10"/>
  <c r="I2" i="10"/>
  <c r="H9" i="7"/>
  <c r="H8" i="7"/>
  <c r="E9" i="7"/>
  <c r="V2" i="11" l="1"/>
  <c r="AL2" i="11"/>
  <c r="AM2" i="11" s="1"/>
  <c r="AK2" i="10"/>
  <c r="AL2" i="10" s="1"/>
  <c r="H22" i="7"/>
  <c r="E2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<sst xmlns="http://schemas.openxmlformats.org/spreadsheetml/2006/main" count="2569" uniqueCount="1364">
  <si>
    <t>แผนงานยุทธศาสตร์พัฒนาศักยภาพคนตลอดช่วงชีวิต</t>
  </si>
  <si>
    <t>แผนงาน</t>
  </si>
  <si>
    <t>โครงการ</t>
  </si>
  <si>
    <t>กิจกรรม</t>
  </si>
  <si>
    <t>คชจ.</t>
  </si>
  <si>
    <t>ที่</t>
  </si>
  <si>
    <t>กิจกรรม ฝึกอบรมแรงงานกลุ่มเป้าหมายเฉพาะเพื่อเพิ่มโอกาสในการประกอบอาชีพ</t>
  </si>
  <si>
    <t>ค่าใช้จ่ายในการฝึกอบรมแรงงานกลุ่มเป้าหมายเฉพาะเพื่อเพิ่มโอกาสในการประกอบอาชีพ</t>
  </si>
  <si>
    <t>ประเภทงบ</t>
  </si>
  <si>
    <t>งบรายจ่ายอื่น</t>
  </si>
  <si>
    <t>เป้าหมายเฉพาะ</t>
  </si>
  <si>
    <t>ลำดับ</t>
  </si>
  <si>
    <t>วิทยากร</t>
  </si>
  <si>
    <t>เลขที่</t>
  </si>
  <si>
    <t>หมู่ที่</t>
  </si>
  <si>
    <t>ถนน</t>
  </si>
  <si>
    <t>ตำบล</t>
  </si>
  <si>
    <t>อำเภอ</t>
  </si>
  <si>
    <t>จังหวัด</t>
  </si>
  <si>
    <t>รหัสไปรษณีย์</t>
  </si>
  <si>
    <t>โทรศัพท์</t>
  </si>
  <si>
    <t>KTB</t>
  </si>
  <si>
    <t>นายประสาร  หิรัญรักษ์</t>
  </si>
  <si>
    <t>39/89</t>
  </si>
  <si>
    <t xml:space="preserve"> </t>
  </si>
  <si>
    <t>นาป่า</t>
  </si>
  <si>
    <t>เมืองชลบุรี</t>
  </si>
  <si>
    <t>ชลบุรี</t>
  </si>
  <si>
    <t>P</t>
  </si>
  <si>
    <t>นายวทัญญู  นามวงษ์</t>
  </si>
  <si>
    <t>ราษฎร์เจริญ</t>
  </si>
  <si>
    <t>พยัคฆภูมิพิสัย</t>
  </si>
  <si>
    <t>มหาสารคาม</t>
  </si>
  <si>
    <t>นายสุพล คล่องณรงค์</t>
  </si>
  <si>
    <t>199/226</t>
  </si>
  <si>
    <t>หนองไม้แดง</t>
  </si>
  <si>
    <t>นายอรรณพ  ดีศรีศักดิ์</t>
  </si>
  <si>
    <t>9/157</t>
  </si>
  <si>
    <t>บางบ่อ</t>
  </si>
  <si>
    <t>บ่างบ่อ</t>
  </si>
  <si>
    <t>สมุทรปราการ</t>
  </si>
  <si>
    <t>นายถาวร  ทิมสุวรรณ</t>
  </si>
  <si>
    <t>36/299</t>
  </si>
  <si>
    <t>สัตหีบ</t>
  </si>
  <si>
    <t>นายอุปนิช  อยู่ภิญโญ</t>
  </si>
  <si>
    <t>120/234</t>
  </si>
  <si>
    <t>บึงยี่โถ</t>
  </si>
  <si>
    <t>ธัญบุรี</t>
  </si>
  <si>
    <t>ปทุมธานี</t>
  </si>
  <si>
    <t>นายนัธทวัฒน์  คิรินทร์</t>
  </si>
  <si>
    <t>114/149</t>
  </si>
  <si>
    <t>ห้วยกะปิ</t>
  </si>
  <si>
    <t>นายพิชัยศิริ  ศิลาแก้ว</t>
  </si>
  <si>
    <t>88/240</t>
  </si>
  <si>
    <t>เสม็ด</t>
  </si>
  <si>
    <t>นายจักรกฤษ  ทองกร</t>
  </si>
  <si>
    <t>22/1</t>
  </si>
  <si>
    <t>เบิกไพร</t>
  </si>
  <si>
    <t>บ้านโป่ง</t>
  </si>
  <si>
    <t>ราชบุรี</t>
  </si>
  <si>
    <t>นายสมชาย  พรมอ๊อต</t>
  </si>
  <si>
    <t>70/18</t>
  </si>
  <si>
    <t>ถนนประชาอุทิศ 74/1</t>
  </si>
  <si>
    <t>ทุ่งครุ</t>
  </si>
  <si>
    <t>กรุงเทพฯ</t>
  </si>
  <si>
    <t>นายธนาคาร  ทิมสุวรรณ</t>
  </si>
  <si>
    <t>ถนนสุขุมวิท</t>
  </si>
  <si>
    <t>นายธนะสิทธิ  เสวิวัตร์</t>
  </si>
  <si>
    <t>ท้ายบ้านใหม่</t>
  </si>
  <si>
    <t>เมืองสมุทรปราการ</t>
  </si>
  <si>
    <t>นายสุรนาท  กนกกาญจนานนท์</t>
  </si>
  <si>
    <t>59/4</t>
  </si>
  <si>
    <t>ดอนหัวฬ่อ</t>
  </si>
  <si>
    <t>นายศุภกฤษ  อธิขจรสุข</t>
  </si>
  <si>
    <t>199/11</t>
  </si>
  <si>
    <t>บางขะแยง</t>
  </si>
  <si>
    <t>เมืองปทุมธานี</t>
  </si>
  <si>
    <t>นายวีรพล ทับแก่น</t>
  </si>
  <si>
    <t>16/225</t>
  </si>
  <si>
    <t>สวนใหญ่</t>
  </si>
  <si>
    <t>เมืองนนทบุรี</t>
  </si>
  <si>
    <t>นนทบุรี</t>
  </si>
  <si>
    <t>นายธีรภัทร์ ทับแก่น</t>
  </si>
  <si>
    <t>11/4</t>
  </si>
  <si>
    <t>พิบูลสงคราม</t>
  </si>
  <si>
    <t>บางเขน</t>
  </si>
  <si>
    <t>นายไสว เขาอิน</t>
  </si>
  <si>
    <t>26/1</t>
  </si>
  <si>
    <t>ทุ่งกระเซาะ</t>
  </si>
  <si>
    <t>บ้านตาก</t>
  </si>
  <si>
    <t>ตาก</t>
  </si>
  <si>
    <t>นายศุภกานต์  สายแก้ว</t>
  </si>
  <si>
    <t>โคกเหล็ก</t>
  </si>
  <si>
    <t>ห้วยราช</t>
  </si>
  <si>
    <t>บุรีรัมย์</t>
  </si>
  <si>
    <t>นายปิยะ  ยิ้มเจริญ</t>
  </si>
  <si>
    <t>75/2</t>
  </si>
  <si>
    <t>ทุ่งสุขลา</t>
  </si>
  <si>
    <t>ศรีราชา</t>
  </si>
  <si>
    <t>นายวีระศักดิ์ เล็กบุญเลิศ</t>
  </si>
  <si>
    <t>นายวีรกิตติ์  พชรกรไพบูลย์</t>
  </si>
  <si>
    <t>145/539</t>
  </si>
  <si>
    <t>ซอยเคหะร่มเกล้า 64</t>
  </si>
  <si>
    <t>คลองสองต้นนุ่น</t>
  </si>
  <si>
    <t>ลาดกระบัง</t>
  </si>
  <si>
    <t>นายพิศิษฎ์  โภคารัตน์กุล</t>
  </si>
  <si>
    <t>55/13</t>
  </si>
  <si>
    <t>ซอยปิ่นทอง 1</t>
  </si>
  <si>
    <t>คูคต</t>
  </si>
  <si>
    <t>ลำลูกกา</t>
  </si>
  <si>
    <t>นายชวนะ  วงศ์สหาก</t>
  </si>
  <si>
    <t>77/240</t>
  </si>
  <si>
    <t>นาเกลือ</t>
  </si>
  <si>
    <t>พระสมุทรเจดีย์</t>
  </si>
  <si>
    <t>นางอัจฉรา  พรมอ๊อต</t>
  </si>
  <si>
    <t>นายชัยพิพัฒน์  เดชอุดมสุทธิ์</t>
  </si>
  <si>
    <t>วังไก่เถื่อน</t>
  </si>
  <si>
    <t>หันคา</t>
  </si>
  <si>
    <t>ชัยนาท</t>
  </si>
  <si>
    <t>นายสุชาติ  สุดศรี</t>
  </si>
  <si>
    <t>98/28</t>
  </si>
  <si>
    <t>ซอยประเสริฐมนูกิจ 29</t>
  </si>
  <si>
    <t>แขวงลาดพร้าว</t>
  </si>
  <si>
    <t>เขตลาดพร้าว</t>
  </si>
  <si>
    <t>นายจักรชัย เตชะสาย</t>
  </si>
  <si>
    <t xml:space="preserve">ซอยอ่อนนุช 53 </t>
  </si>
  <si>
    <t>แขวง ประเวศ</t>
  </si>
  <si>
    <t>เขตประเวศ</t>
  </si>
  <si>
    <t>นางณชวรินทร์  เปรี่ยมพิมาย</t>
  </si>
  <si>
    <t>ท่าประดู่</t>
  </si>
  <si>
    <t>เมือง</t>
  </si>
  <si>
    <t>ระยอง</t>
  </si>
  <si>
    <t>นายวันชัย  ลีลากวีวงศ์</t>
  </si>
  <si>
    <t>ซอย 3/1</t>
  </si>
  <si>
    <t>บางแค</t>
  </si>
  <si>
    <t>นางสาวศิวาพร  บุทธิจักร</t>
  </si>
  <si>
    <t>56/97</t>
  </si>
  <si>
    <t>ซอยพระยาสุเรนทร์ 45</t>
  </si>
  <si>
    <t>คลองสามวาตะวันตก</t>
  </si>
  <si>
    <t>คลองสามวา</t>
  </si>
  <si>
    <t>นายบุญเลิศ  ขุนศรีรักษา</t>
  </si>
  <si>
    <t>119/46</t>
  </si>
  <si>
    <t>เหมือง</t>
  </si>
  <si>
    <t>นายกิตติพงษ์  จงรักตระกูล</t>
  </si>
  <si>
    <t>4/16</t>
  </si>
  <si>
    <t>ถนนจรัญสนิทวงศ์</t>
  </si>
  <si>
    <t>ท่าพระ</t>
  </si>
  <si>
    <t>บางกอกใหญ่</t>
  </si>
  <si>
    <t>นางสาวสราญรัศม์  อัครนามสิน</t>
  </si>
  <si>
    <t>กังแอน</t>
  </si>
  <si>
    <t>ปราสาท</t>
  </si>
  <si>
    <t>สุรินทร์</t>
  </si>
  <si>
    <t>นางสาวณฐนิษฐ์  แย้มพินิจ</t>
  </si>
  <si>
    <t>นางพิกุล  จองซอนะ</t>
  </si>
  <si>
    <t>ตลาดใหญ่</t>
  </si>
  <si>
    <t>ดอยสะเก็ด</t>
  </si>
  <si>
    <t>เชียงใหม่</t>
  </si>
  <si>
    <t>นางสาวชยุตา แย้มพินิจ</t>
  </si>
  <si>
    <t>นางสาววารุณี ริมมากุลทรัพย์</t>
  </si>
  <si>
    <t>100/550</t>
  </si>
  <si>
    <t>บางกรวย-ไทรน้อย</t>
  </si>
  <si>
    <t>บางรักพัฒนา</t>
  </si>
  <si>
    <t>บางบัวทอง</t>
  </si>
  <si>
    <t>นางสาวน้ำฝน  พวงนางแย้ม</t>
  </si>
  <si>
    <t>49/21</t>
  </si>
  <si>
    <t>สุขุมวิท</t>
  </si>
  <si>
    <t>บ้านสวน</t>
  </si>
  <si>
    <t>ว่าที่ร้อยตรีวิทยา  สุทธิประภา</t>
  </si>
  <si>
    <t>59/18</t>
  </si>
  <si>
    <t>บึงคำพร้อย</t>
  </si>
  <si>
    <t>นายกำพล  บุญกล่อม</t>
  </si>
  <si>
    <t>โกรกพระ</t>
  </si>
  <si>
    <t>นครสวรรค์</t>
  </si>
  <si>
    <t>นายศุกสันติ์ ศุภสิทธิ์รัฐกุล</t>
  </si>
  <si>
    <t>419/61</t>
  </si>
  <si>
    <t>ซอยศรีด่าน 29</t>
  </si>
  <si>
    <t>ศรีนครินทร์</t>
  </si>
  <si>
    <t>สำโรงเหนือ</t>
  </si>
  <si>
    <t>นายประพันธ์ มุมเสือ</t>
  </si>
  <si>
    <t>188/16</t>
  </si>
  <si>
    <t>บางพระ</t>
  </si>
  <si>
    <t>นายสมคิด ไพบูลย์รัตน์</t>
  </si>
  <si>
    <t>18/20</t>
  </si>
  <si>
    <t>ซอนสุนทรพิมล</t>
  </si>
  <si>
    <t>จารุเมือง</t>
  </si>
  <si>
    <t>รองเมือง</t>
  </si>
  <si>
    <t>ปทุมวัน</t>
  </si>
  <si>
    <t>กรุงเทพมหานคร</t>
  </si>
  <si>
    <t>นายอภิสิทธิ์ แสนรักสงบ</t>
  </si>
  <si>
    <t>79/9</t>
  </si>
  <si>
    <t>นายมนตรี หมอกมี</t>
  </si>
  <si>
    <t>69/4</t>
  </si>
  <si>
    <t>นายวิรัช เหลืองอนุศาสตร์</t>
  </si>
  <si>
    <t>256/162</t>
  </si>
  <si>
    <t>บ่อวิน</t>
  </si>
  <si>
    <t>นายวิษณุ พันธ์แสง</t>
  </si>
  <si>
    <t>17/1/4</t>
  </si>
  <si>
    <t>ประตูชัย</t>
  </si>
  <si>
    <t>ท่าหิน</t>
  </si>
  <si>
    <t>เมืองลพบุรี</t>
  </si>
  <si>
    <t>ลพบุรี</t>
  </si>
  <si>
    <t>นายพิศาล ไชยบุรี</t>
  </si>
  <si>
    <t>เสมา</t>
  </si>
  <si>
    <t>ตลาด</t>
  </si>
  <si>
    <t>เมืองมหาสารคาม</t>
  </si>
  <si>
    <t>นายสมชาย พรนราทิพย์</t>
  </si>
  <si>
    <t>63/653</t>
  </si>
  <si>
    <t>บางไผ่-หนองเพรางาย</t>
  </si>
  <si>
    <t>นายพิเชษฐ์ พิเสม</t>
  </si>
  <si>
    <t>36/1</t>
  </si>
  <si>
    <t>บ้านพระ</t>
  </si>
  <si>
    <t>เมืองปราจีนบุรี</t>
  </si>
  <si>
    <t>ปราจีนบุรี</t>
  </si>
  <si>
    <t>นายนะเรศ แกว่นกสิกรรม</t>
  </si>
  <si>
    <t>น้ำทรง</t>
  </si>
  <si>
    <t>พยุหะคีรี</t>
  </si>
  <si>
    <t>นายถิรธนา  ศรีส่วน</t>
  </si>
  <si>
    <t>บ้านท่าลาด</t>
  </si>
  <si>
    <t>ท่าลาด</t>
  </si>
  <si>
    <t>วารินชำราบ</t>
  </si>
  <si>
    <t>อุบลราชธานี</t>
  </si>
  <si>
    <t>นายอภิภัณฑ์ ปรารถนาแสงกุศล</t>
  </si>
  <si>
    <t>มาบไผ่</t>
  </si>
  <si>
    <t>บ้านบึง</t>
  </si>
  <si>
    <t>นายกิตติศักดิ์ ธนะวีระวงศ์</t>
  </si>
  <si>
    <t>29/179</t>
  </si>
  <si>
    <t>นายกิตติพงษ์ กรวิทยโยธิน</t>
  </si>
  <si>
    <t>คลองกิ่ว</t>
  </si>
  <si>
    <t>นายศรายุธ ประสพผล</t>
  </si>
  <si>
    <t>29/4</t>
  </si>
  <si>
    <t>นายบุญรัก กันยา</t>
  </si>
  <si>
    <t>80/10</t>
  </si>
  <si>
    <t>หนองซ้ำซาก</t>
  </si>
  <si>
    <t>นายอนุชา มาตฤปโยธร</t>
  </si>
  <si>
    <t>12/5</t>
  </si>
  <si>
    <t>สิริโสธร</t>
  </si>
  <si>
    <t>ลาดขวาง</t>
  </si>
  <si>
    <t>บ้านโพธิ์</t>
  </si>
  <si>
    <t>ฉะเชิงเทรา</t>
  </si>
  <si>
    <t>นายชุมพล ราชสีห์</t>
  </si>
  <si>
    <t>123/68</t>
  </si>
  <si>
    <t>สุขประยูร</t>
  </si>
  <si>
    <t>นายสิทธิพงษ์ รัตนาภรณ์</t>
  </si>
  <si>
    <t>119/1</t>
  </si>
  <si>
    <t>หนองตำลึง</t>
  </si>
  <si>
    <t>พานทอง</t>
  </si>
  <si>
    <t>นายวุฒิกรณ์ บุญพัก</t>
  </si>
  <si>
    <t>หัวนา</t>
  </si>
  <si>
    <t>หนองบัวลำภู</t>
  </si>
  <si>
    <t>นางสาวพิมพ์นรา ทองชมพูนุช</t>
  </si>
  <si>
    <t>เขาซก</t>
  </si>
  <si>
    <t>หนองใหญ่</t>
  </si>
  <si>
    <t>นางสาวอัญชลี เกตุจรุง</t>
  </si>
  <si>
    <t>6/1</t>
  </si>
  <si>
    <t>หนองรี</t>
  </si>
  <si>
    <t>นายกิตติกร เจริญดี</t>
  </si>
  <si>
    <t>24/3</t>
  </si>
  <si>
    <t>ท่าข้าม</t>
  </si>
  <si>
    <t>พนัสนิคม</t>
  </si>
  <si>
    <t>นายยสพร ศิริพละ</t>
  </si>
  <si>
    <t>ท่าไข่</t>
  </si>
  <si>
    <t>เมืองฉะเชิงเทรา</t>
  </si>
  <si>
    <t>นายศักดิ์ชัย ลีพันธุ์</t>
  </si>
  <si>
    <t>35/225</t>
  </si>
  <si>
    <t>คลองสาม</t>
  </si>
  <si>
    <t>คลองหลวง</t>
  </si>
  <si>
    <t>นายมนรักษ์ ศรีบุญเอียด</t>
  </si>
  <si>
    <t>ยางหัก</t>
  </si>
  <si>
    <t>ปากท่อ</t>
  </si>
  <si>
    <t>นายโอภาส สุวรรณสัมฤทธิ์</t>
  </si>
  <si>
    <t>59/6</t>
  </si>
  <si>
    <t>ท่าอิฐ</t>
  </si>
  <si>
    <t>ปากเกร็ด</t>
  </si>
  <si>
    <t>เลขบัตรประชาชน</t>
  </si>
  <si>
    <t>ไฟฟ้า , แอร์</t>
  </si>
  <si>
    <t>สาขาถนัดฝึก</t>
  </si>
  <si>
    <t>ไฟฟ้า</t>
  </si>
  <si>
    <t>เชื่อม</t>
  </si>
  <si>
    <t>รถยก</t>
  </si>
  <si>
    <t>ที่ปรึกษา</t>
  </si>
  <si>
    <t>PLC ไฟฟ้า แอร์</t>
  </si>
  <si>
    <t>PLC</t>
  </si>
  <si>
    <t>แอร์</t>
  </si>
  <si>
    <t>นายฤทธิเดช มิ่งเชื้อ</t>
  </si>
  <si>
    <t>บาริสต้า บาร์เทนเดอร์</t>
  </si>
  <si>
    <t>เจ้าหน้าที</t>
  </si>
  <si>
    <t>ตำแหน่ง</t>
  </si>
  <si>
    <t>ลำดับที่</t>
  </si>
  <si>
    <t>นายปฐมพงศ์</t>
  </si>
  <si>
    <t>ฟักเขียว</t>
  </si>
  <si>
    <t>นายปฐมพงศ์ ฟักเขียว</t>
  </si>
  <si>
    <t>นางศิริพร</t>
  </si>
  <si>
    <t>ศรวมศิริ</t>
  </si>
  <si>
    <t>นักวิชาการพัฒนาฝีมือแรงงานชำนาญการพิเศษ</t>
  </si>
  <si>
    <t>นางศิริพร ศรวมศิริ</t>
  </si>
  <si>
    <t>นางอทิตา</t>
  </si>
  <si>
    <t>เอกสมทราเมษฐ์</t>
  </si>
  <si>
    <t>นายสุทัศน์</t>
  </si>
  <si>
    <t>เชื้ออินทร์</t>
  </si>
  <si>
    <t>นายสุทัศน์ เชื้ออินทร์</t>
  </si>
  <si>
    <t>นางสาวณัฐรดา</t>
  </si>
  <si>
    <t>อัมราลิขิต</t>
  </si>
  <si>
    <t>นักวิชาการพัฒนาฝีมือแรงงานชำนาญการ</t>
  </si>
  <si>
    <t>นางสาวณัฐรดา อัมราลิขิต</t>
  </si>
  <si>
    <t>นายสุราษฎร์</t>
  </si>
  <si>
    <t>ฤทธิดำรงการ</t>
  </si>
  <si>
    <t>นายสุราษฎร์ ฤทธิดำรงการ</t>
  </si>
  <si>
    <t>นางสาวมธุรดา</t>
  </si>
  <si>
    <t>ชวนไชยสิทธิ์</t>
  </si>
  <si>
    <t>นางสาวมธุรดา ชวนไชยสิทธิ์</t>
  </si>
  <si>
    <t>นางสาวญาตินันท์</t>
  </si>
  <si>
    <t>ศรีรอด</t>
  </si>
  <si>
    <t>นางสาวญาตินันท์ ศรีรอด</t>
  </si>
  <si>
    <t>นางสาวสุรัชวดี</t>
  </si>
  <si>
    <t>สุภาพ</t>
  </si>
  <si>
    <t>นางสาวสุรัชวดี สุภาพ</t>
  </si>
  <si>
    <t>นายสิทธิชัย</t>
  </si>
  <si>
    <t>โพธิ์ทอง</t>
  </si>
  <si>
    <t>นายสิทธิชัย โพธิ์ทอง</t>
  </si>
  <si>
    <t>นางสาวนาถฤดี</t>
  </si>
  <si>
    <t>รวมทวี</t>
  </si>
  <si>
    <t>นักวิชาการพัฒนาฝีมือแรงงานปฏิบัติการ</t>
  </si>
  <si>
    <t>นางสาวนาถฤดี รวมทวี</t>
  </si>
  <si>
    <t>นายธันว์</t>
  </si>
  <si>
    <t>หันประดิษฐ์</t>
  </si>
  <si>
    <t>นายธันว์ หันประดิษฐ์</t>
  </si>
  <si>
    <t>นางสาวพนิดา</t>
  </si>
  <si>
    <t>โมคภา</t>
  </si>
  <si>
    <t>นางสาวพนิดา โมคภา</t>
  </si>
  <si>
    <t>นางสาวนสรณ์</t>
  </si>
  <si>
    <t>พิเรนทร</t>
  </si>
  <si>
    <t>เจ้าพนักงานธุรการชำนาญงาน</t>
  </si>
  <si>
    <t>นางสาวนสรณ์ พิเรนทร</t>
  </si>
  <si>
    <t>นางบุษราภรณ์</t>
  </si>
  <si>
    <t>เอมสถิตย์</t>
  </si>
  <si>
    <t>เจ้าพนักงานการเงินและบัญชีชำนาญงาน</t>
  </si>
  <si>
    <t>นางบุษราภรณ์ เอมสถิตย์</t>
  </si>
  <si>
    <t>นางแสงเดือน</t>
  </si>
  <si>
    <t>ศรีวิลัย</t>
  </si>
  <si>
    <t>เจ้าพนักงานพัสดุชำนาญงาน</t>
  </si>
  <si>
    <t>นางแสงเดือน ศรีวิลัย</t>
  </si>
  <si>
    <t>นายศราวุฒิ</t>
  </si>
  <si>
    <t>ปัญญาเครือ</t>
  </si>
  <si>
    <t>เจ้าพนักงานพัสดุปฏิบัติงาน</t>
  </si>
  <si>
    <t>นายศราวุฒิ ปัญญาเครือ</t>
  </si>
  <si>
    <t>ครูฝึกฝีมือแรงงาน ระดับ ช๓</t>
  </si>
  <si>
    <t>นายโสวิด</t>
  </si>
  <si>
    <t>อาจวงศ์</t>
  </si>
  <si>
    <t>นายโสวิด อาจวงศ์</t>
  </si>
  <si>
    <t>นายวิทยา</t>
  </si>
  <si>
    <t>สมอย้อย</t>
  </si>
  <si>
    <t>ครูฝึกฝีมือแรงงาน ระดับ ช๒</t>
  </si>
  <si>
    <t>นายวิทยา สมอย้อย</t>
  </si>
  <si>
    <t>นายณรงค์ศักดิ์</t>
  </si>
  <si>
    <t>โท้ทอง</t>
  </si>
  <si>
    <t>นายณรงค์ศักดิ์ โท้ทอง</t>
  </si>
  <si>
    <t>นางวารุณี</t>
  </si>
  <si>
    <t>รัตนะ</t>
  </si>
  <si>
    <t>พนักงานธุรการ ระดับ ส๔</t>
  </si>
  <si>
    <t>นางวารุณี รัตนะ</t>
  </si>
  <si>
    <t>นางสาววันดี</t>
  </si>
  <si>
    <t>ชื่นจิตต์</t>
  </si>
  <si>
    <t>นางสาววันดี ชื่นจิตต์</t>
  </si>
  <si>
    <t>นางวลัยลักษณ์</t>
  </si>
  <si>
    <t>นักวิชาการพัฒนาฝีมือแรงงาน</t>
  </si>
  <si>
    <t>นางวลัยลักษณ์ หันประดิษฐ์</t>
  </si>
  <si>
    <t>นายชินพันธุ์</t>
  </si>
  <si>
    <t>แพฟื้น</t>
  </si>
  <si>
    <t>นายชินพันธุ์ แพฟื้น</t>
  </si>
  <si>
    <t>นางสาวกิจติยาภรณ์</t>
  </si>
  <si>
    <t>แสงแก้ว</t>
  </si>
  <si>
    <t>นางสาวกิจติยาภรณ์ แสงแก้ว</t>
  </si>
  <si>
    <t>นายศุภณัฐ</t>
  </si>
  <si>
    <t>โสวจัสสตากุล</t>
  </si>
  <si>
    <t>นายศุภณัฐ โสวจัสสตากุล</t>
  </si>
  <si>
    <t>นางสาวธนพร</t>
  </si>
  <si>
    <t>โกยสำราญ</t>
  </si>
  <si>
    <t>นางสาวธนพร โกยสำราญ</t>
  </si>
  <si>
    <t>นางสาววิภารัตน์</t>
  </si>
  <si>
    <t>บุตรคง</t>
  </si>
  <si>
    <t>นิติกร</t>
  </si>
  <si>
    <t>นางสาววิภารัตน์ บุตรคง</t>
  </si>
  <si>
    <t>นางพัฒสร</t>
  </si>
  <si>
    <t>ขันทะยศ</t>
  </si>
  <si>
    <t>นางพัฒสร ขันทะยศ</t>
  </si>
  <si>
    <t>นางสาววราภรณ์</t>
  </si>
  <si>
    <t>เกตุขาว</t>
  </si>
  <si>
    <t>นักวิชาการเงินและบัญชี</t>
  </si>
  <si>
    <t>นางสาววราภรณ์ เกตุขาว</t>
  </si>
  <si>
    <t>นางสาวปณัฏฐา</t>
  </si>
  <si>
    <t>แผลงเดช</t>
  </si>
  <si>
    <t>เจ้าหน้าที่พัสดุ</t>
  </si>
  <si>
    <t>นางสาวปณัฏฐา แผลงเดช</t>
  </si>
  <si>
    <t>นางสาวศิรินทิพย์</t>
  </si>
  <si>
    <t>ศิริโท</t>
  </si>
  <si>
    <t>เจ้าหน้าที่ธุรการ</t>
  </si>
  <si>
    <t>นางสาวศิรินทิพย์ ศิริโท</t>
  </si>
  <si>
    <t>นางสุพัตรา</t>
  </si>
  <si>
    <t>ต๊กควรเฮง</t>
  </si>
  <si>
    <t>นางสุพัตรา ต๊กควรเฮง</t>
  </si>
  <si>
    <t>นายชุมพล</t>
  </si>
  <si>
    <t>พฤทธิพงศ์พันธุ์</t>
  </si>
  <si>
    <t>พนักงานขับรถยนต์</t>
  </si>
  <si>
    <t>นายชุมพล พฤทธิพงศ์พันธุ์</t>
  </si>
  <si>
    <t>นายเอนก</t>
  </si>
  <si>
    <t>ช่วงชัชวาลย์</t>
  </si>
  <si>
    <t>นายเอนก ช่วงชัชวาลย์</t>
  </si>
  <si>
    <t>นายวันชัย</t>
  </si>
  <si>
    <t>มิตรพระพันธุ์</t>
  </si>
  <si>
    <t>นายวันชัย มิตรพระพันธุ์</t>
  </si>
  <si>
    <t>ผู้อำนวยการสถาบันพัฒนาฝีมือแรงงาน 3 ชลบุรี</t>
  </si>
  <si>
    <t>กลุ่มงาน</t>
  </si>
  <si>
    <t>แผน</t>
  </si>
  <si>
    <t>นายมนชยา ศิริกิจ</t>
  </si>
  <si>
    <t>กมร.</t>
  </si>
  <si>
    <t>กผส.</t>
  </si>
  <si>
    <t>กพง.</t>
  </si>
  <si>
    <t>บท.</t>
  </si>
  <si>
    <t>สพร.</t>
  </si>
  <si>
    <t>งาน</t>
  </si>
  <si>
    <t>ผอ.กลุ่ม กผส.</t>
  </si>
  <si>
    <t>ผอ.กลุ่ม กพง.</t>
  </si>
  <si>
    <t>ผอ.กลุ่ม กมร.</t>
  </si>
  <si>
    <t>ประเมิน</t>
  </si>
  <si>
    <t>ฝึก</t>
  </si>
  <si>
    <t>พรบ.</t>
  </si>
  <si>
    <t>มาตรฐาน</t>
  </si>
  <si>
    <t>ช่วยราชการ</t>
  </si>
  <si>
    <t>การเงิน</t>
  </si>
  <si>
    <t>พัสดุ</t>
  </si>
  <si>
    <t>ธุรการ</t>
  </si>
  <si>
    <t>กองทุน</t>
  </si>
  <si>
    <t>หน้าห้อง</t>
  </si>
  <si>
    <t>ขับรถ</t>
  </si>
  <si>
    <t>ชื่อ</t>
  </si>
  <si>
    <t>สกุล</t>
  </si>
  <si>
    <t>หมายเลขโทรศัพท์</t>
  </si>
  <si>
    <t>ชื่อหลักสูตร</t>
  </si>
  <si>
    <t>รหัสหลักสุตร</t>
  </si>
  <si>
    <t>ประเภทหลักสูตร</t>
  </si>
  <si>
    <t>หลักสุตรที่เปิด</t>
  </si>
  <si>
    <t>ระยะเวลา</t>
  </si>
  <si>
    <t xml:space="preserve">ยกระดับฝีมือ </t>
  </si>
  <si>
    <t>บาริสต้ามืออาชีพ</t>
  </si>
  <si>
    <t>เป้าหมาย</t>
  </si>
  <si>
    <t>สถานที่ฝึก</t>
  </si>
  <si>
    <t>สถาบันพัฒนาฝีมือแรงงาน 3 ชลบุรี</t>
  </si>
  <si>
    <t>145 หมู่ที่ 1</t>
  </si>
  <si>
    <t>หลักสูตร</t>
  </si>
  <si>
    <t>เวลา</t>
  </si>
  <si>
    <t>ผู้ควบคุม</t>
  </si>
  <si>
    <t>ผู้ประสาน 1</t>
  </si>
  <si>
    <t>ผู้ประสาน 2</t>
  </si>
  <si>
    <t>ผู้ประสาน 3</t>
  </si>
  <si>
    <t>จำนวนผู้สมัคร</t>
  </si>
  <si>
    <t>ค่าอาหาร/คน</t>
  </si>
  <si>
    <t>ค่าวัสดุ/คน</t>
  </si>
  <si>
    <t>ค่าอาหารว่าง/คน</t>
  </si>
  <si>
    <t>ค่าวิทยากร/ชั่วโมง</t>
  </si>
  <si>
    <t>ใบสำคัญรับเงิน</t>
  </si>
  <si>
    <t>สำหรับวิทยากร</t>
  </si>
  <si>
    <t>ชื่อส่วนราชการผู้จัดฝึกอบรม</t>
  </si>
  <si>
    <t>สถาบันพัฒนาฝีมือแรงงาน ๓ ชลบุรี</t>
  </si>
  <si>
    <t>ข้าพเจ้า</t>
  </si>
  <si>
    <t>อยู่บ้านเลขที่</t>
  </si>
  <si>
    <t>รุ่น</t>
  </si>
  <si>
    <t>ได้รับเงินจากแผนกการเงิน  สถาบันพัฒนาฝีมือแรงงาน  ๓  ชลบุรี</t>
  </si>
  <si>
    <t>รายการ</t>
  </si>
  <si>
    <t>จำนวนเงิน</t>
  </si>
  <si>
    <t>ค่าตอบแทนวิทยากรฝึกอบรม</t>
  </si>
  <si>
    <t>-</t>
  </si>
  <si>
    <t>บาท</t>
  </si>
  <si>
    <t xml:space="preserve">   ลงชื่อ</t>
  </si>
  <si>
    <t>ผู้รับเงิน</t>
  </si>
  <si>
    <t>ผู้จ่ายเงิน</t>
  </si>
  <si>
    <t>(</t>
  </si>
  <si>
    <t>)</t>
  </si>
  <si>
    <t>วันที่อบรม</t>
  </si>
  <si>
    <t>วันขอเปิด</t>
  </si>
  <si>
    <t>ค่าอาหาร/คน/วัน</t>
  </si>
  <si>
    <t>ค่าอาหารว่าง/คน/มื้อ</t>
  </si>
  <si>
    <t>แทรกแถวก่อนข้อมูลถึงแถวนี้</t>
  </si>
  <si>
    <t>ชื่อกิจกรรม</t>
  </si>
  <si>
    <t>ศูนย์เรียนรู้การพัฒนาสตรีและครอบครัวเฉลิมพระเกียรติสมเด็จพระเทพฯ 36 พรรษา จังหวัดชลบุรี</t>
  </si>
  <si>
    <t>บางละมุง</t>
  </si>
  <si>
    <t>แทรกแถวก่อนถึงแถวนี้</t>
  </si>
  <si>
    <t xml:space="preserve">09.00 - 16.00 น. </t>
  </si>
  <si>
    <t>ชื่อสถานที่ฝึก</t>
  </si>
  <si>
    <t>ชื่อเจ้าหน้าที่</t>
  </si>
  <si>
    <t>การประกอบอาหารไทยประยุกต์</t>
  </si>
  <si>
    <t>นายสุรเชษฐ์ ดิเรกบุษราคม</t>
  </si>
  <si>
    <t>อาหารไทย</t>
  </si>
  <si>
    <t>นวด ดูแลผู้สูงอายุ</t>
  </si>
  <si>
    <t>ปีงบประมาณ</t>
  </si>
  <si>
    <t>VLOOKUP(K9,ข้อมูล,3,FALSE)</t>
  </si>
  <si>
    <t>VLOOKUP(C8,วิทยากร,2,FALSE)</t>
  </si>
  <si>
    <t>สาขา &amp;VLOOKUP(K9,ข้อมูล,4,FALSE)</t>
  </si>
  <si>
    <t>วันที่ &amp;VLOOKUP(K9,ข้อมูล,5,FALSE)</t>
  </si>
  <si>
    <t>เวลา ๐๙.๐๐ - ๑๖.๐๐ น. รวม &amp;VLOOKUP(K9,ข้อมูล,8,FALSE)&amp;" ชั่วโมง"</t>
  </si>
  <si>
    <t>(ชั่วโมงละ &amp;VLOOKUP(K9,ข้อมูล,7,FALSE)&amp;" บาท x "&amp;VLOOKUP(K9,ข้อมูล,8,FALSE)&amp;" ชั่วโมง)"</t>
  </si>
  <si>
    <t>สาขา</t>
  </si>
  <si>
    <t>รหัสหลักสูตร</t>
  </si>
  <si>
    <t>ประเภทการฝึก</t>
  </si>
  <si>
    <t>เลขที่ หมู่ที่</t>
  </si>
  <si>
    <t>กลุ่มเป้าหมาย</t>
  </si>
  <si>
    <t>ผู้สนใจประกอบอาชีพ</t>
  </si>
  <si>
    <t>เลขบัตรวิทยากร</t>
  </si>
  <si>
    <t>ตำแหน่งผู้ประสาน 1</t>
  </si>
  <si>
    <t>ตำแหน่งผู้ประสาน 3</t>
  </si>
  <si>
    <t>ตำแหน่งผู้ควบคุม</t>
  </si>
  <si>
    <t>ตำแหน่งผู้ประสาน 2</t>
  </si>
  <si>
    <t>จำนวนวันฝึก</t>
  </si>
  <si>
    <t>มื้ออาหารว่าง</t>
  </si>
  <si>
    <t>รวมค่าวิทยากร</t>
  </si>
  <si>
    <t>รวมค่าวัสดุ</t>
  </si>
  <si>
    <t>รวมค่าอาหาร</t>
  </si>
  <si>
    <t>รวมค่าอาหารว่าง</t>
  </si>
  <si>
    <t>รวมค่าใช้จ่าย</t>
  </si>
  <si>
    <t>ข้อความเงิน</t>
  </si>
  <si>
    <t>เลขหนังสือขอเปิดฝึก</t>
  </si>
  <si>
    <t>รหัสรุ่นในระบบ</t>
  </si>
  <si>
    <t>การเขียนโปรแกรมประมวลผลภาพและเทคโนโลยีปัญญาประดิษฐ์</t>
  </si>
  <si>
    <t>การวิเคราะห์ความต้องการระบบสารสนเทศทางธุรกิจ</t>
  </si>
  <si>
    <t xml:space="preserve">การพัฒนาอาชีพเฝ้าระวังและป้องกันภัยทางไซเบอร์ </t>
  </si>
  <si>
    <t>ระบบโลจิสติกส์อัจฉริยะ</t>
  </si>
  <si>
    <t>ดิจิทัล</t>
  </si>
  <si>
    <t>โลจิสติกส์</t>
  </si>
  <si>
    <t>soft power</t>
  </si>
  <si>
    <t xml:space="preserve">การซ่อมบำรุงเครื่องยนต์เรือสปีดโบ๊ท (OUT BOARD) </t>
  </si>
  <si>
    <t xml:space="preserve">ผู้ประกอบอาหารฮาลาล </t>
  </si>
  <si>
    <t xml:space="preserve">การพ่นสีและซ่อมสีเรือยอร์ช </t>
  </si>
  <si>
    <t>รุ่นที่ยืม</t>
  </si>
  <si>
    <t>ผู้ยืม</t>
  </si>
  <si>
    <t>ตำแหน่งผู้ยืม</t>
  </si>
  <si>
    <t>รายการยืมเงินราชการ</t>
  </si>
  <si>
    <t>ชื่อผู้ยืม</t>
  </si>
  <si>
    <t>วันที่ยืม</t>
  </si>
  <si>
    <t>เลขที่สัญญา</t>
  </si>
  <si>
    <t>5/61</t>
  </si>
  <si>
    <t>บางโฉลง</t>
  </si>
  <si>
    <t>บางพลี</t>
  </si>
  <si>
    <t>ชื่อ-สกุล</t>
  </si>
  <si>
    <t>วันที่ขอยืม</t>
  </si>
  <si>
    <t>รายการที่ยืม</t>
  </si>
  <si>
    <t>จำนวนหัวที่ยืม</t>
  </si>
  <si>
    <t>EEC</t>
  </si>
  <si>
    <t>แผนงานบูรณาการเขตพัฒนาพิเศษภาคตะวันออก</t>
  </si>
  <si>
    <t>กิจกรรม พัฒนาศักยภาพแรงงานชั้นสูงในเขตพัฒนาพิเศษภาคตะวันออก (EEC)</t>
  </si>
  <si>
    <t>ค่าใช้จ่ายในการพัฒนาศักยภาพแรงงานชั้นสูงในเขตพัฒนาพิเศษภาคตะวันออก (EEC)</t>
  </si>
  <si>
    <t>นายจำเนียร ขาวจันทร์</t>
  </si>
  <si>
    <t>วิทยากรต้นแบบ</t>
  </si>
  <si>
    <t>วิทยากรต้นแบบเทคนิคการสอนงานตามสาขาอาชีพ</t>
  </si>
  <si>
    <t>รุ่นที่เปิด</t>
  </si>
  <si>
    <t>นางสาวขวัญชนก พุ่มพวง</t>
  </si>
  <si>
    <t>ลำดับในรุ่น</t>
  </si>
  <si>
    <t>ที่อยู่</t>
  </si>
  <si>
    <t>ผล</t>
  </si>
  <si>
    <t>ผ่าน</t>
  </si>
  <si>
    <t>รุนที่ฝึก</t>
  </si>
  <si>
    <t>เพศ</t>
  </si>
  <si>
    <t>หญิง</t>
  </si>
  <si>
    <t>ชาย</t>
  </si>
  <si>
    <t>ข้อความเงินค่าวัสดุ</t>
  </si>
  <si>
    <t>ข้อความเงินค่าวิทยากร</t>
  </si>
  <si>
    <t>วันประกาศจบ</t>
  </si>
  <si>
    <t>จำนวนจบ</t>
  </si>
  <si>
    <t>08.30 - 17.00 น.</t>
  </si>
  <si>
    <t>นางสาวพรพรรณ สร้อยทอง</t>
  </si>
  <si>
    <t>นวด , สมุนไพร</t>
  </si>
  <si>
    <t>ถนนสุริยกานต์</t>
  </si>
  <si>
    <t>ในเมือง</t>
  </si>
  <si>
    <t>สรีรวิทยา , นวด</t>
  </si>
  <si>
    <t>นายวีรนันท์ ติวยานนท์</t>
  </si>
  <si>
    <t>ซอยนนทบุรี 11/3</t>
  </si>
  <si>
    <t>บางกระสอ</t>
  </si>
  <si>
    <t>การทำผลิตภัณฑ์สมุนไพรเพื่อสุขภาพและความงาม</t>
  </si>
  <si>
    <t>กายวิภาคศาสตร์และสรีรวิทยาสำหรับการนวด</t>
  </si>
  <si>
    <t>การประกอบอาหารเพื่อสุขภาพ</t>
  </si>
  <si>
    <t>เทคนิคการสร้างสื่อมัลติมีเดียเพื่อการท่องเที่ยว</t>
  </si>
  <si>
    <t>เทคนิคการเป็นผู้นำท่องเที่ยวเชิงสร้างสรรค์</t>
  </si>
  <si>
    <t>การตัดเย็บชุดพื้นเมืองตามรูปแบบการท่องเที่ยวเชิงอนุรักษ์</t>
  </si>
  <si>
    <t>นักส่งเสริมสุขภาพแบบองค์รวม สปาตะวันตก (หัตถบำบัด) ระดับ 1</t>
  </si>
  <si>
    <t>กัวซา</t>
  </si>
  <si>
    <t>การใช้ภูมิปัญญาท้องถิ่นเพื่อส่งเสริมการท่องเที่ยววิถีใหม่</t>
  </si>
  <si>
    <t>22/6</t>
  </si>
  <si>
    <t>ข้อมูลการเปิดฝึกอบรม</t>
  </si>
  <si>
    <t>นางสาวเจกิตาน์  ศรีสรวล</t>
  </si>
  <si>
    <t>นายปิติ ปิยจิรภาส</t>
  </si>
  <si>
    <t>การสร้างสือมัลติมิเดียเพื่อการท่องเที่ยว</t>
  </si>
  <si>
    <t>นายคมกฤต สว่างวงษ์</t>
  </si>
  <si>
    <t>นายศุภชัย  ตันติฤทธิพร</t>
  </si>
  <si>
    <t>ตัดเย็บ ท่องเที่ยวชุมชน</t>
  </si>
  <si>
    <t>โรงแรมบางแสนเฮอริเทจ</t>
  </si>
  <si>
    <t>แสนสุข</t>
  </si>
  <si>
    <t>94</t>
  </si>
  <si>
    <t>บางทราย</t>
  </si>
  <si>
    <t>ซอยบางทรายซอย 6</t>
  </si>
  <si>
    <t>65/9</t>
  </si>
  <si>
    <t>หนองข้างคอก</t>
  </si>
  <si>
    <t>88/57</t>
  </si>
  <si>
    <t xml:space="preserve">อาชีพเสริม </t>
  </si>
  <si>
    <t>การทำความสะอาดเครื่องปรับอากาศในบ้านและการพาณิชย์ขนาดเล็ก</t>
  </si>
  <si>
    <t>ศูนย์ฝึกและอบรมเด็กและเยาวชนบ้านบึง</t>
  </si>
  <si>
    <t>หนองอิรุณ</t>
  </si>
  <si>
    <t>ค่าอาหาร</t>
  </si>
  <si>
    <t>รุ่นทำเอกสาร</t>
  </si>
  <si>
    <t>(กำหนดรุ่นที่จะจัดเอกสารฝึกที่นี่)</t>
  </si>
  <si>
    <t>ยืม หรือ หักล้าง</t>
  </si>
  <si>
    <t>เลขหนังสือยืม</t>
  </si>
  <si>
    <t>44</t>
  </si>
  <si>
    <t>สระกะเทียม</t>
  </si>
  <si>
    <t>นครปฐม</t>
  </si>
  <si>
    <t>เมืองนครปฐม</t>
  </si>
  <si>
    <t>เมืองสุรินทร์</t>
  </si>
  <si>
    <t>เมืองระยอง</t>
  </si>
  <si>
    <t>หัวหักล้าง 1</t>
  </si>
  <si>
    <t>หัวหักล้าง 2</t>
  </si>
  <si>
    <t>หัวหักล้างวันแรก</t>
  </si>
  <si>
    <t>วันที่หักล้าง</t>
  </si>
  <si>
    <t>รวมค่าอาหารหักล้าง</t>
  </si>
  <si>
    <t>รวมค่าอาหารว่างหักล้าง</t>
  </si>
  <si>
    <t>รวมค่าใช้จ่ายหักล้าง</t>
  </si>
  <si>
    <t>ข้อความเงินหักล้าง</t>
  </si>
  <si>
    <t>เหลือคืน</t>
  </si>
  <si>
    <t>ข้อความเงินเหลือคืน</t>
  </si>
  <si>
    <t>หัวหักล้างตั้งแต่วันที่ 2</t>
  </si>
  <si>
    <t>แรงงานในสถานประกอบกิจการและผู้สนใจประกอบอาชีพ</t>
  </si>
  <si>
    <t>นางประพันธ์ ศาสตร์บัณฑิต</t>
  </si>
  <si>
    <t>82/3 ม.12 นาป่า เมืองชลบุรี ชลบุรี 20000 โทร.0816870257</t>
  </si>
  <si>
    <t>กิจกรรม เพิ่มทักษะด้านอาชีพแก่นักเรียนที่ไม่ได้เรียนต่อหลังจบการศึกษาภาคบังคับ</t>
  </si>
  <si>
    <t>ค่าใช้จ่ายในการเพิ่มทักษะด้านอาชีพแก่นักเรียนที่ไม่ได้เรียนต่อหลังจบการศึกษาภาคบังคับ</t>
  </si>
  <si>
    <t>กลุ่มสร้างชีวิตใหม่ให้สตรีชนบท ตำบลโคกเพาะ อำเภอพนัสนิคม จังหวัดชลบุรี</t>
  </si>
  <si>
    <t>โคกเพาะ</t>
  </si>
  <si>
    <t>โรงเรียนสิริลดานวดไทยและสปา เมืองพัทยา จังหวัดชลบุรี</t>
  </si>
  <si>
    <t>คลองตำหรุ</t>
  </si>
  <si>
    <t>79 ถ.บางนา-ตราด</t>
  </si>
  <si>
    <t>มหาวิทยาลัยศรีปทุม วิทยาเขตชลบุรี</t>
  </si>
  <si>
    <t>การปลูกพืชในโรงเรือนเกษตรอัจฉริยะ</t>
  </si>
  <si>
    <t>BCG</t>
  </si>
  <si>
    <t>บูรณาการ</t>
  </si>
  <si>
    <t>บาร์เทนเดอร์มืออาชีพ</t>
  </si>
  <si>
    <t>08.00 - 17.00 น.</t>
  </si>
  <si>
    <t>นายณชนน ชูเทียน</t>
  </si>
  <si>
    <t>โรงเรือนเกษตร</t>
  </si>
  <si>
    <t>19/10</t>
  </si>
  <si>
    <t>หัวรอ</t>
  </si>
  <si>
    <t>เมืองพิษณุโลก</t>
  </si>
  <si>
    <t>พิษณุโลก</t>
  </si>
  <si>
    <t>นางสาวอรไพ มณีสุข</t>
  </si>
  <si>
    <t>152/129  ม.7 สุรศักดิ์ ศรีราชา ชลบุรี 20180 โทร.0818287019</t>
  </si>
  <si>
    <t>B001</t>
  </si>
  <si>
    <t>B002</t>
  </si>
  <si>
    <t>B003</t>
  </si>
  <si>
    <t>ค่าวิทยากร</t>
  </si>
  <si>
    <t>ค่าวัสดุ</t>
  </si>
  <si>
    <t>ค่าอาหารว่าง</t>
  </si>
  <si>
    <t>รวม</t>
  </si>
  <si>
    <t>ค่าใช้จ่ายสุทธิแต่ละรายการ</t>
  </si>
  <si>
    <t>แรงงานสตรี</t>
  </si>
  <si>
    <t>การทำศิลปะประดิษฐ์เครื่องประดับ เพื่อการค้า</t>
  </si>
  <si>
    <t>9 - 13 ธันวาคม 2567</t>
  </si>
  <si>
    <t>การเพิ่มมูลค่าผลิตภัณฑ์จากผ้าเพื่อการพาณิชย์</t>
  </si>
  <si>
    <t>20 - 24 มกราคม 2568</t>
  </si>
  <si>
    <t>12 - 16 ธันวาคม 2567</t>
  </si>
  <si>
    <t>อัตราค่าใช้จ่ายได้รับ</t>
  </si>
  <si>
    <t>คนครัวบนเรือ</t>
  </si>
  <si>
    <t>คชจ.ต่อรุ่น</t>
  </si>
  <si>
    <t>นางนงเยาว์ สอนจะโปะ</t>
  </si>
  <si>
    <t>199/219</t>
  </si>
  <si>
    <t>นายปฐม พุ่มพวง</t>
  </si>
  <si>
    <t>243</t>
  </si>
  <si>
    <t>พลา</t>
  </si>
  <si>
    <t>บ้านฉาง</t>
  </si>
  <si>
    <t>สารสนเทศทางธุรกิจ</t>
  </si>
  <si>
    <t>นางจิราภรณ์ ชมยิ้ม</t>
  </si>
  <si>
    <t>mobile app , AI</t>
  </si>
  <si>
    <t>88/34</t>
  </si>
  <si>
    <t>อ่างศิลา</t>
  </si>
  <si>
    <t>43</t>
  </si>
  <si>
    <t>โคกเพลาะ</t>
  </si>
  <si>
    <t>นางสาวิตรี  โพชจะโป๊ะ</t>
  </si>
  <si>
    <t>นายชาติชาย บัวเงิน</t>
  </si>
  <si>
    <t>การพัฒนา Mobile Application บนระบบปฏิบัติการของโทรศัพท์เคลื่อนที่</t>
  </si>
  <si>
    <t>ยกเลิก</t>
  </si>
  <si>
    <t>นายนันทวิทย์ จักสาน</t>
  </si>
  <si>
    <t>29/267</t>
  </si>
  <si>
    <t>กระทุ่มราย</t>
  </si>
  <si>
    <t>หนองจอก</t>
  </si>
  <si>
    <t>วิศวะเครื่องกล เกษตรอัจฉริยะ</t>
  </si>
  <si>
    <t>นางสาวเสาวรส สันประเสริฐ</t>
  </si>
  <si>
    <t>52/9</t>
  </si>
  <si>
    <t>ระบบน้ำโซล่าเซลล์</t>
  </si>
  <si>
    <t>นายประวิทย์ บุญนิธิไพสิฐ</t>
  </si>
  <si>
    <t>บาร์เทนเดอร์</t>
  </si>
  <si>
    <t>นายอำพันธ์ น่วมนุ่ม</t>
  </si>
  <si>
    <t>64</t>
  </si>
  <si>
    <t>ผู้สูงอายุ</t>
  </si>
  <si>
    <t>มวยไทย</t>
  </si>
  <si>
    <t>นายจัตุชัย จำปาหอม</t>
  </si>
  <si>
    <t>127/126</t>
  </si>
  <si>
    <t>นายนาคิน คำศรี</t>
  </si>
  <si>
    <t>89/302</t>
  </si>
  <si>
    <t>มหาวิทยาลัยบูรพา</t>
  </si>
  <si>
    <t>ผู้ฝึกสอนมวยไทย ระดับ 1</t>
  </si>
  <si>
    <t xml:space="preserve">08.30 - 17.00 น. </t>
  </si>
  <si>
    <t>ว่าที่ร้อยตรีสมภพ โชติช่วง</t>
  </si>
  <si>
    <t>96/69</t>
  </si>
  <si>
    <t>หมู่บ้านศิลาพรวิว 2</t>
  </si>
  <si>
    <t>เกาะขวาง</t>
  </si>
  <si>
    <t>เมืองจันทบุรี</t>
  </si>
  <si>
    <t>จันทบุรี</t>
  </si>
  <si>
    <t>การจัดการด้านอาหารและโภชนาการบนเรือ</t>
  </si>
  <si>
    <t>นายพงษทร คงลือชา</t>
  </si>
  <si>
    <t>นายนพสิทธิ์ ภู่ทอง</t>
  </si>
  <si>
    <t>09.00 - 17.00 น.</t>
  </si>
  <si>
    <t xml:space="preserve">นางสาวพัทธนันท์ ศรีม่วง </t>
  </si>
  <si>
    <t>องค์การบริหารส่วนตำบลคลองตำหรุ</t>
  </si>
  <si>
    <t>วิทยาลัยเทคโนโลยีทางทะเลแห่งเอเชีย จังหวัดชลบุรี</t>
  </si>
  <si>
    <t>นายอัศวิน มากทรัพย์</t>
  </si>
  <si>
    <t>พ่นสีเรือ</t>
  </si>
  <si>
    <t>นายเสฐียรพงษ์ บัวสถิตย์</t>
  </si>
  <si>
    <t>26</t>
  </si>
  <si>
    <t>โพธิ์ตรุ</t>
  </si>
  <si>
    <t>นายยุทธนาวี ศิริแสง</t>
  </si>
  <si>
    <t>62/4</t>
  </si>
  <si>
    <t>สุรศักดิ์</t>
  </si>
  <si>
    <t>111/66</t>
  </si>
  <si>
    <t>สวนหลวง</t>
  </si>
  <si>
    <t>กระทุ่มแบน</t>
  </si>
  <si>
    <t>สมุทรสาคร</t>
  </si>
  <si>
    <t>นายสมยศ ตันติวงศ์วาณิช</t>
  </si>
  <si>
    <t>50/267</t>
  </si>
  <si>
    <t>ถนนบรมราชชนนี</t>
  </si>
  <si>
    <t>ทวีวัฒนา</t>
  </si>
  <si>
    <t>ศาลาธรรมสพน์</t>
  </si>
  <si>
    <t>696/306</t>
  </si>
  <si>
    <t>บางพลัด</t>
  </si>
  <si>
    <t>หมู่ที่ 1</t>
  </si>
  <si>
    <t>ศูนย์ฝึกอาชีพชุมชนบ้านนาเกลือ หมู่ที่ 1 ตำบลคลองตำหรุ อำเภอเมือง จังหวัดชลบุรี</t>
  </si>
  <si>
    <t>โครงการส่งเสริมและพัฒนาทักษะอาชีพคนพิการและผู้ดูแลคนพิการสู่ความยั่งยืน</t>
  </si>
  <si>
    <t>ศูนย์ส่งเสริมทักษะชีวิตบุคคลออทิสติก จังหวัดชลบุรี</t>
  </si>
  <si>
    <t>นางสาวนงรักษ์ แทบทาม</t>
  </si>
  <si>
    <t>46/5</t>
  </si>
  <si>
    <t>พระรถซอย 9</t>
  </si>
  <si>
    <t>สระสี่เหลี่ยม</t>
  </si>
  <si>
    <t>สมุนไพร , ลูกปัด</t>
  </si>
  <si>
    <t>นางชงโค นิยมไวทยะ</t>
  </si>
  <si>
    <t>ผ้ามัดย้อม</t>
  </si>
  <si>
    <t>10/27</t>
  </si>
  <si>
    <t>1</t>
  </si>
  <si>
    <t>ชมรมผู้ปกครองคนพิการทางสติปัญญา จังหวัดชลบุรี</t>
  </si>
  <si>
    <t>คนพิการ</t>
  </si>
  <si>
    <t>การสร้างผลิตภัณฑ์ด้วยกระบวนการมัดย้อม</t>
  </si>
  <si>
    <t>ประกอบจักรยาน</t>
  </si>
  <si>
    <t>นายมาโนช กฤตยาเมธา</t>
  </si>
  <si>
    <t>3</t>
  </si>
  <si>
    <t>89/282</t>
  </si>
  <si>
    <t>บ้านศรีเมือง</t>
  </si>
  <si>
    <t>การประกอบและซ่อมบำรุงรถจักรยาน</t>
  </si>
  <si>
    <t>เรือนจำกลางจังหวัดชลบุรี</t>
  </si>
  <si>
    <t>นางขจีพรรณ  โตวา</t>
  </si>
  <si>
    <t>ecoprint , ขนม ของว่าง</t>
  </si>
  <si>
    <t>การประกอบอาหารว่างและเครื่องดื่ม</t>
  </si>
  <si>
    <t>108 หมู่ที่ 4 บ้านบึงตะกู ตำบลธาตุทอง อำเภอบ่อทอง จังหวัดชลบุรี</t>
  </si>
  <si>
    <t>52/18</t>
  </si>
  <si>
    <t>ตะเคียนเตี้ย</t>
  </si>
  <si>
    <t>ลูกปัด</t>
  </si>
  <si>
    <t>นางมนัสนันท์ แซ่ปึง</t>
  </si>
  <si>
    <t>28/5</t>
  </si>
  <si>
    <t>ถนนสุขประยูร</t>
  </si>
  <si>
    <t>กุฏโค้ง</t>
  </si>
  <si>
    <t>ณ ศูนย์ส่งเสริมทักษะชีวิตบุคคลออทิสติก จังหวัดชลบุรี</t>
  </si>
  <si>
    <t>(ชั่วโมงละ 400 บาท x 19 ชั่วโมง)</t>
  </si>
  <si>
    <t>(นางมนัสนันท์ แซ่ปึง)</t>
  </si>
  <si>
    <t>วันที่ 21 พฤษภาคม 2568 เวลา 14.00 - 16.00 น.</t>
  </si>
  <si>
    <t>วันที่ 22 พฤษภาคม 2569 เวลา 11.00 - 12.00 , 13.00 - 14.00 น.</t>
  </si>
  <si>
    <t>วันที่ 23 พฤษภาคม 2570 เวลา 09.00 - 16.00 น.</t>
  </si>
  <si>
    <t>วันที่ 25 พฤษภาคม 2572 เวลา 10.00 - 12.00 , 1๔.00 - 16.00 น.</t>
  </si>
  <si>
    <t>วันที่ 24 พฤษภาคม 2571 เวลา 09.00 - 12.00 , 1๔.00 - 16.00 น.</t>
  </si>
  <si>
    <t>รวม 19 ชั่วโมง</t>
  </si>
  <si>
    <t>การวิเคราะห์ข้อมูลด้วยโปรแกรม Power BI</t>
  </si>
  <si>
    <t>เทคโนโลยี IoT ในงานอุตสาหกรรม</t>
  </si>
  <si>
    <t>แบตเตอรี่และระบบประจุไฟฟ้ายานยนต์ไฟฟ้า</t>
  </si>
  <si>
    <t>การประยุกต์ใช้งาน PLC ขั้นสูง</t>
  </si>
  <si>
    <t>การประยุกต์ใช้เทคโนโลยีปัญญาประดิษฐ์สำหรับงานโลจิสติกส์</t>
  </si>
  <si>
    <t>การตลาดออนไลน์ด้วยโมบายแอพพลิเคชั่น</t>
  </si>
  <si>
    <t>เทคนิคการสอนงานและเป็นหัวหน้างาน</t>
  </si>
  <si>
    <t>ศตวรรษ 21</t>
  </si>
  <si>
    <t>นายพชร รุ่งกาญจนกุล</t>
  </si>
  <si>
    <t>power BI</t>
  </si>
  <si>
    <t>729</t>
  </si>
  <si>
    <t>สมาคมคนพิการภาคตะวันออก สาขาอำเภอบ้านบึง 25/13 หมู่ 2 ต.หนองชาก อ.บ้านบึง จ.ชลบุรี</t>
  </si>
  <si>
    <t>นายเอกราช เทพพิทักษ์</t>
  </si>
  <si>
    <t>68/83</t>
  </si>
  <si>
    <t>การพัฒนาโปรแกรมบนเว็บด้วยภาษา Python</t>
  </si>
  <si>
    <t>108</t>
  </si>
  <si>
    <t>ธาตุทอง</t>
  </si>
  <si>
    <t>บ่อทอง</t>
  </si>
  <si>
    <t>บ้านบึงตะกู</t>
  </si>
  <si>
    <t>นายชัชรินทร์ เลิศยศบดินทร์</t>
  </si>
  <si>
    <t>Python</t>
  </si>
  <si>
    <t>ทุ่งสองห้อง</t>
  </si>
  <si>
    <t>หลักสี่</t>
  </si>
  <si>
    <t>234/401</t>
  </si>
  <si>
    <t>IoT</t>
  </si>
  <si>
    <t>กลิง , เทคนิคการสอนงาน</t>
  </si>
  <si>
    <t>นายปฏิญญา สารสุวรรณ</t>
  </si>
  <si>
    <t>115</t>
  </si>
  <si>
    <t>สุพรรณบุรี</t>
  </si>
  <si>
    <t>บางปลาม้า</t>
  </si>
  <si>
    <t>ผศ.สุวิทย์ วงษ์ยืน</t>
  </si>
  <si>
    <t>ยานยนต์ไฟฟ้า</t>
  </si>
  <si>
    <t>สมาคมแรงงานคนพิการจังหวัดชลบุรี เลขที่ 71/33 หมู่ 6 ตำบลบางพระ อำเภอศรีราชา จังหวัดชลบุรี</t>
  </si>
  <si>
    <t>99/872</t>
  </si>
  <si>
    <t>บางเสาธง</t>
  </si>
  <si>
    <t>ศรีษะจรเข้น้อย</t>
  </si>
  <si>
    <t>ดร.ณรงค์ ทมเจริญ</t>
  </si>
  <si>
    <t>การใช้เทคโนโลยีเพื่อจัดการน้ำสำหรับโรงเรือนเกษตรอัจฉริยะ</t>
  </si>
  <si>
    <t>นายธนดล จันทร์โคตร</t>
  </si>
  <si>
    <t>10/21</t>
  </si>
  <si>
    <t>บางกระสั้น</t>
  </si>
  <si>
    <t>บางปะอิน</t>
  </si>
  <si>
    <t>พระนครศรีอยุธยา</t>
  </si>
  <si>
    <t>ซอย บ้านดอนกอก ตำบล นาเริก อำเภอพนัสนิคม ชลบุรี 20140</t>
  </si>
  <si>
    <t>โคกหนองนา โมเดล สวนป่าริมธาร</t>
  </si>
  <si>
    <t>นายศกร วิลาวัลย์</t>
  </si>
  <si>
    <t>ระบบน้ำโรงเรือน</t>
  </si>
  <si>
    <t>50</t>
  </si>
  <si>
    <t>ซอยพึ่งมี 15</t>
  </si>
  <si>
    <t>บางจาก</t>
  </si>
  <si>
    <t>พระโขนง</t>
  </si>
  <si>
    <t>อาคารพระรายานนท์ กองพันทหารราบที่ 3 กรมทหารราบที่ 21 รักษาพระองค์ฯ</t>
  </si>
  <si>
    <t>นายชวัลวิชญ์ วงค์เมทา</t>
  </si>
  <si>
    <t>42/43</t>
  </si>
  <si>
    <t>ซอยนิมิตใหม่ 40</t>
  </si>
  <si>
    <t>สามวาตะวันออก</t>
  </si>
  <si>
    <t>15/3</t>
  </si>
  <si>
    <t>บางพื่ง</t>
  </si>
  <si>
    <t>บ้านหมี่</t>
  </si>
  <si>
    <t>จักรสาน</t>
  </si>
  <si>
    <t>26 หมู่ที่ 2</t>
  </si>
  <si>
    <t>พลูตาหลวง</t>
  </si>
  <si>
    <t>การประกอบอาหารว่าง</t>
  </si>
  <si>
    <t>นางสาวชนิดาภา แหวนนุช</t>
  </si>
  <si>
    <t>87/68ม12 นาป่า เมืองชลบุรี ชลบุรี 20000 โทร.0896066770</t>
  </si>
  <si>
    <t>นายวัชร สุขคะ</t>
  </si>
  <si>
    <t>การจักสานผลิตภัณฑ์</t>
  </si>
  <si>
    <t>องค์การบริหารส่วนตำบลพลูตาหลวง อำเภอสัตหีบ จังหวัดชลบุรี</t>
  </si>
  <si>
    <t>439/199</t>
  </si>
  <si>
    <t>ประชาอุทิศ90</t>
  </si>
  <si>
    <t>บ้านคลองสวน</t>
  </si>
  <si>
    <t>การพัฒนาอาชีพเฝ้าระวังและป้องกันภัยทางไซเบอร์</t>
  </si>
  <si>
    <t>การออกแบบระบบให้รองรับการทำงานผ่านคลาวด์ cloud native</t>
  </si>
  <si>
    <t>แรงงานนอกระบบ ผู้ประกอบอาชีพอิสระ</t>
  </si>
  <si>
    <t>บริษัท ศรีราชา ทักโบ๊ต จำกัด 142/13 หมู่ 1 ตำบลทุ่งสุขลา อำเภอศรีราชา จังหวัดชลบุรี</t>
  </si>
  <si>
    <t>นายภูวิช บุญนาคกัลยกร</t>
  </si>
  <si>
    <t>1/4</t>
  </si>
  <si>
    <t>ถนนสุขศาลา</t>
  </si>
  <si>
    <t>ธุรกิจท่องเที่ยว</t>
  </si>
  <si>
    <t>ห้องประชุม โรงเรียนบุญญวิทยาคาร อำเภอพนัสนิคม จังหวัดชลบุรี</t>
  </si>
  <si>
    <t>นายสมหมาย กรังพานิช</t>
  </si>
  <si>
    <t>104/54</t>
  </si>
  <si>
    <t>ถนนกิจมณี</t>
  </si>
  <si>
    <t>บางหญ้าแพรก</t>
  </si>
  <si>
    <t>เมืองสมุทสาคร</t>
  </si>
  <si>
    <t>cloud</t>
  </si>
  <si>
    <t>cyber security</t>
  </si>
  <si>
    <t>76/57</t>
  </si>
  <si>
    <t>คู้บอน</t>
  </si>
  <si>
    <t>บางชัน</t>
  </si>
  <si>
    <t>การพัฒนาศักยภาพผู้ประกอบอาชีพอิสระรายย่อยรองรับการปรับตัวให้มั่นคงในฐานเศรษฐกิจ</t>
  </si>
  <si>
    <t>นายตันติกร</t>
  </si>
  <si>
    <t>นายตันติกร เลื่อยสาด</t>
  </si>
  <si>
    <t>นายพงพล คงสุข</t>
  </si>
  <si>
    <t>นายนวพล สากล</t>
  </si>
  <si>
    <t>ครูฝึกฝีมือแรงงานเทคนิค</t>
  </si>
  <si>
    <t>เลื่อยสาด</t>
  </si>
  <si>
    <t>นายพงพล</t>
  </si>
  <si>
    <t>คงสุข</t>
  </si>
  <si>
    <t>นายนวพล</t>
  </si>
  <si>
    <t>สากล</t>
  </si>
  <si>
    <t>วิทยาลัยอาชีวศึกษาชลบุรี</t>
  </si>
  <si>
    <t>388 หมู่ 5</t>
  </si>
  <si>
    <t xml:space="preserve">08.00 - 17.00 น. </t>
  </si>
  <si>
    <t>นางสาวกุลวดี สุคนธมาน</t>
  </si>
  <si>
    <t>119/141 ม.3 เหมือง เมืองชลบุรี ชลบุรี 20130 โทร.0959563050</t>
  </si>
  <si>
    <t>55/4 ม.8 ซ.9 บางละมุง บางละมุง ชลบุรี 20150 โทร.0992959564</t>
  </si>
  <si>
    <t>นางสาวจิตตรา เอกปัจฉิมศิริ</t>
  </si>
  <si>
    <t>65/108 ม.2 นาป่า เมืองชลบุรี ชลบุรี 20000 โทร.0659165463?</t>
  </si>
  <si>
    <t>นางสาวเจนจิรา อนันเต่า</t>
  </si>
  <si>
    <t>โรงแรมเอเชีย พัทยา 352 หมู่ที่ 12 ถนนพระตำหนักซอย4 หนองปรือ บางละมุง ชลบุรี 20150 โทร.082-595-5049</t>
  </si>
  <si>
    <t>นางสาวชยธร กิจกุศลทรัพย์</t>
  </si>
  <si>
    <t>196 หมู่ 2 ต.เพ อ.เมืองระยอง เพ เมืองระยอง ระยอง 21160 โทร.0935299147</t>
  </si>
  <si>
    <t>นางชไมพร ลาภศิริผล</t>
  </si>
  <si>
    <t>10,12  ถนนประโยชน์เนื่องจำนงค์2 บ้านบึง บ้านบึง ชลบุรี 20170 โทร.0933694546</t>
  </si>
  <si>
    <t>นางสาวณัชธ์จานัน เจริญมงคลดี</t>
  </si>
  <si>
    <t>292/104 ทุ่งสุขลา ศรีราชา ชลบุรี 20230 โทร.0646322245</t>
  </si>
  <si>
    <t>นายณัฐพร ปุ๋ยรักษา</t>
  </si>
  <si>
    <t>234/385 ถนนเศรษฐกิจ อ้อมน้อย กระทุ่มแบน สมุทรสาคร 74130 โทร.0897611049</t>
  </si>
  <si>
    <t>นางสาวณัฐรวีกานต์ ฐิติธนภูมิ</t>
  </si>
  <si>
    <t>26/4 ถนนบางแสนสาย2 แสนสุข เมืองชลบุรี ชลบุรี 20130 โทร.0853659599</t>
  </si>
  <si>
    <t>นางณิชชารีย์ ภู่พูลเพียน</t>
  </si>
  <si>
    <t>18/5 ม.7 หนองไม้แดง เมืองชลบุรี ชลบุรี 20000 โทร.0924649246</t>
  </si>
  <si>
    <t>นางสาวบำรุง ตันติอภิบาลกุล</t>
  </si>
  <si>
    <t>43/21 หมู่บ้านเทวาปุระ ถนนถนนบางแสนสายสี่เหนือ แสนสุข เมืองชลบุรี ชลบุรี 20130 โทร.0868184812</t>
  </si>
  <si>
    <t>นายศิรสิทธิ์ พุทธศร</t>
  </si>
  <si>
    <t>504/67ม.9 หนองขาม ศรีราชา ชลบุรี 20110 โทร.0926357481</t>
  </si>
  <si>
    <t>นายเศรณัช เทียนทอง</t>
  </si>
  <si>
    <t>197/274 สุรศักดิ์ ศรีราชา ชลบุรี 20110 โทร.0983535023</t>
  </si>
  <si>
    <t>นายสรวง จรัสแสงโสภณ</t>
  </si>
  <si>
    <t>89/11 ม.5  ห้วยกะปิ เมืองชลบุรี ชลบุรี 20130 โทร.0812744552</t>
  </si>
  <si>
    <t>นายสัญญา ศาสตร์บัณฑิต</t>
  </si>
  <si>
    <t>82/3  ม.12  นาป่า เมืองชลบุรี ชลบุรี 20000 โทร.0896054715</t>
  </si>
  <si>
    <t>นายสิทธันต์ เซียวประเสริฐ</t>
  </si>
  <si>
    <t>81/38 หมู่ที่ 5 อ่างศิลา เมืองชลบุรี ชลบุรี 20000 โทร.0908971195</t>
  </si>
  <si>
    <t>นางสิริวรรณ รักษ์สกุล</t>
  </si>
  <si>
    <t>118/106 หมู่ 3 บางทราย เมืองชลบุรี ชลบุรี 20000 โทร.0822061950</t>
  </si>
  <si>
    <t>นางสาวสิริวรรณ รัตนสถิตย์</t>
  </si>
  <si>
    <t>118/21 ซ.2 หมู่บ้านศุภาลัย วิลล์ บ้านสวน เมืองชลบุรี ชลบุรี 20000 โทร.0853266222</t>
  </si>
  <si>
    <t>นางสาวสุนิษา จำนงเพียร</t>
  </si>
  <si>
    <t>โรงแรมเอเชีย พัทยา 352 หมู่ที่ 12 ถนนพระตำหนัก ซอย 4 หนองปรือ บางละมุง ชลบุรี 20150 โทร.0942524631</t>
  </si>
  <si>
    <t>นางสาวสุพรรณีย์ เทียมขุนทด</t>
  </si>
  <si>
    <t>51 บึงทองหลาง ลำลูกกา ปทุมธานี 12150 โทร.0987945354</t>
  </si>
  <si>
    <t>นายไอศวรรย์ พึ่งสุวรรณ</t>
  </si>
  <si>
    <t>119/141?ม.3 เหมือง เมืองชลบุรี ชลบุรี 20130 โทร.0877513773</t>
  </si>
  <si>
    <t>รองรับเศรษฐกิจ</t>
  </si>
  <si>
    <t>โครงการพัฒนาทักษะแรงงานด้านเทคโนโลยีรองรับการพัฒนาเศรษฐกิจ</t>
  </si>
  <si>
    <t>กิจกรรม พัฒนาทักษะแรงงานด้านเทคโนโลยีรองรับการพัฒนาเศรษฐกิจ</t>
  </si>
  <si>
    <t>ค่าใช้จ่ายในการพัฒนาทักษะแรงงานด้านเทคโนโลยีรองรับการพัฒนาเศรษฐกิจ</t>
  </si>
  <si>
    <t>เศรษฐกิจสีเขียว</t>
  </si>
  <si>
    <t>โครงการพัฒนาศักยภาพแรงงานขับเคลื่อนการเติบโตภาคเศรษฐกิจและสังคมอย่างยั่งยืน</t>
  </si>
  <si>
    <t>กิจกรรม พัฒนาแรงงานเพื่องานและทักษะแห่งอนาคต</t>
  </si>
  <si>
    <t>ค่าใช้จ่ายในการพัฒนาแรงงานเพื่องานและทักษะแห่งอนาคต</t>
  </si>
  <si>
    <t>ท่องเที่ยวและบริการ</t>
  </si>
  <si>
    <t>กิจกรรม พัฒนาแรงงานเพื่อเพิ่มผลิตภาพแรงงานและการแข่งขัน</t>
  </si>
  <si>
    <t>ค่าใช้จ่ายในการพัฒนาแรงงานเพื่อเพิ่มผลิตภาพแรงงานและการแข่งขัน</t>
  </si>
  <si>
    <t>เพิ่มผลิตภาพและแข่งขัน</t>
  </si>
  <si>
    <t>ทำงานต่างประเทศ</t>
  </si>
  <si>
    <t>กิจกรรม พัฒนาบุคลากรรองรับอุตสาหกรรมโลจิสติกส์และซัพพลายเชน</t>
  </si>
  <si>
    <t>ค่าใช้จ่ายในการพัฒนาบุคลากรรองรับอุตสาหกรรมโลจิสติกส์และซัพพลายเชน</t>
  </si>
  <si>
    <t>ผลิตภาพแรงงาน</t>
  </si>
  <si>
    <t>โครงการเพิ่มทักษะแรงงานอิสระและกลุ่มเป้าหมายเฉพาะเพื่อเพิ่มโอกาสในการประกอบอาชีพ</t>
  </si>
  <si>
    <t>กิจกรรม ยกระดับผลิตภาพแรงงานและผู้ประกอบกิจการรองรับเศรษฐกิจใหม่</t>
  </si>
  <si>
    <t>ค่าใช้จ่ายในการยกระดับผลิตภาพแรงงานและผู้ประกอบกิจการรองรับเศรษฐกิจใหม่</t>
  </si>
  <si>
    <t>500 / 120</t>
  </si>
  <si>
    <t>Gig worker</t>
  </si>
  <si>
    <t>กิจกรรม พัฒนาทักษะแรงงานนอกระบบให้สอดคล้องกับความสามารถเฉพาะบุคคลเพื่อการประกอบอาชีพ</t>
  </si>
  <si>
    <t>ค่าใช้จ่ายในการพัฒนาทักษะแรงงานนอกระบบให้สอดคล้องกับความสามารถเฉพาะบุคคลเพื่อการประกอบอาชีพ</t>
  </si>
  <si>
    <t>เตรียม นักเรียน</t>
  </si>
  <si>
    <t>กิจกรรม ฝึกอบรมแรงงานผู้สูงอายุเพื่อเพิ่มโอกาสในการประกอบอาชีพ</t>
  </si>
  <si>
    <t>ค่าใช้จ่ายในการฝึกอบรมแรงงานผู้สูงอายุเพื่อเพิ่มโอกาสในการประกอบอาชีพ</t>
  </si>
  <si>
    <t>แรงงานนอกระบบ</t>
  </si>
  <si>
    <t>ทหารเกณฑ์ก่อนปลด</t>
  </si>
  <si>
    <t>กิจกรรม พัฒนาฝีมือแรงงานสตรีเพื่อยกระดับศักยภาพวัยแรงงาน</t>
  </si>
  <si>
    <t>ค่าใช้จ่ายในการพัฒนาฝีมือแรงงานสตรีเพื่อยกระดับศักยภาพวัยแรงงาน</t>
  </si>
  <si>
    <t>แรงงานอิสระ</t>
  </si>
  <si>
    <t>กิจกรรม พัฒนาทักษะแรงงานอิสระและผู้ประกอบกิจการเพื่อเพิ่มมูลค่าสินค้าหรือบริการในชุมชน</t>
  </si>
  <si>
    <t>ค่าใช้จ่ายในการพัฒนาทักษะแรงงานอิสระและผู้ประกอบกิจการเพื่อเพิ่มมูลค่าสินค้าหรือบริการในชุมชน</t>
  </si>
  <si>
    <t>ยานยนต์สมัยใหม่</t>
  </si>
  <si>
    <t xml:space="preserve">แผนงานบูรณาการ พัฒนาอุตสาหกรรมและบริการแห่งอนาคต </t>
  </si>
  <si>
    <t>โครงการยกระดับผลิตภาพและพัฒนากำลังคนเพื่อสร้างความสามารถในการแข่งขันภาคอุตสาหกรรม</t>
  </si>
  <si>
    <t>กิจกรรม พัฒนาสมรรถนะบุคลากรรองรับการขยายตัวของอุตสาหกรรมยานยนต์สมัยใหม่</t>
  </si>
  <si>
    <t>ค่าใช้จ่ายในการพัฒนาสมรรถนะบุคลากรรองรับการขยายตัวของอุตสาหกรรมยานยนต์สมัยใหม่</t>
  </si>
  <si>
    <t>ระบบอัตโนมัติและหุ่นยนต์</t>
  </si>
  <si>
    <t>กิจกรรม พัฒนากำลังคนเพื่อสร้างความสามารถในการแข่งขันภาคอุตสาหกรรม</t>
  </si>
  <si>
    <t>ค่าใช้จ่ายในการพัฒนากำลังคนเพื่อสร้างความสามารถในการแข่งขันภาคอุตสาหกรรม</t>
  </si>
  <si>
    <t>อิเล็กทรอนิกส์อัจฉริยะ</t>
  </si>
  <si>
    <t>ปัญญาประดิษฐ์</t>
  </si>
  <si>
    <t>D-Workforce</t>
  </si>
  <si>
    <t>23 - 27 ตุลาคม 2568</t>
  </si>
  <si>
    <t>โอนครั้งที่ 1</t>
  </si>
  <si>
    <t>กิจกรรม พัฒนาศักยภาพแรงงานและผู้ประกอบการเกษตรอัจฉริยะรองรับเศรษฐกิจ BCG</t>
  </si>
  <si>
    <t>ค่าใช้จ่ายในการพัฒนาศักยภาพแรงงานและผู้ประกอบการเกษตรอัจฉริยะรองรับเศรษฐกิจ BCG</t>
  </si>
  <si>
    <t>ค่าใช้จ่ายในการพัฒนาสมรรถนะบุคลากรด้านระบบอัตโนมัติและหุ่นยนต์เพื่อรองรับอุตสาหกรรมและบริการแห่งอนาคต</t>
  </si>
  <si>
    <t>ค่าใช้จ่ายในการพัฒนาสมรรถนะบุคลากรดิจิทัลรองรับอุตสาหกรรมและบริการแห่งอนาคต (D-Workforce)</t>
  </si>
  <si>
    <t>โครงการพัฒนาศักยภาพแรงงานชั้นสูงในเขตพัฒนาพิเศษภาคตะวันออก (EEC)</t>
  </si>
  <si>
    <t>งบเงินอุดหนุน</t>
  </si>
  <si>
    <t>เงินอุดหนุนเพื่อช่วยเหลือผู้เข้ารับการฝึกอาชีพ</t>
  </si>
  <si>
    <t>กิจกรรมย่อย</t>
  </si>
  <si>
    <t>กิจกรรมย่อย แรงงานนอกระบบ</t>
  </si>
  <si>
    <t>กิจกรรมย่อย ทหารเกณฑ์ก่อนปลดประจำการ</t>
  </si>
  <si>
    <t>กิจกรรมย่อย พัฒนาทักษะตามความต้องการของผู้ประกอบการอุตสาหกรรมท่องเที่ยวและบริการ</t>
  </si>
  <si>
    <t>กิจกรรมย่อย พัฒนาแรงงานเพื่อเพิ่มผลิตภาพแรงงานและการแข่งขัน</t>
  </si>
  <si>
    <t>กิจกรรมย่อย พัฒนาทักษะแรงงานรองรับการไปทำงานต่างประเทศ</t>
  </si>
  <si>
    <t>กิจกรรมย่อย พัฒนาทักษะคนประจำเรือในตำแหน่งคนครัวบนเรือ</t>
  </si>
  <si>
    <t>กิจกรรมย่อย พัฒนาทักษะรองรับเทคโนโลยีอุตสาหกรรมอิเล็กทรอนิกส์อัจฉริยะ</t>
  </si>
  <si>
    <t>กิจกรรมย่อย พัฒนาทักษะภาคอุตสาหกรรมเพื่อทำงานร่วมกับเทคโนโลยีปัญญาประดิษฐ์</t>
  </si>
  <si>
    <t>ต่อคนโครงการ</t>
  </si>
  <si>
    <t>ต่อคนจริง</t>
  </si>
  <si>
    <t>รุ่นครั้งที่ 1</t>
  </si>
  <si>
    <t>สุราษฎร์</t>
  </si>
  <si>
    <t>ธันว์</t>
  </si>
  <si>
    <t>นางสาวพัชรินทร์  วัชรเวชศฤงคาร</t>
  </si>
  <si>
    <t>765/3 ถนนเจตน์จำนงค บางปลาสร้อย เมืองชลบุรี ชลบุรี 20000 โทร.0618262915</t>
  </si>
  <si>
    <t>นางสาววันเพ็ญ เตชะวิศิษฐ์พงษ์</t>
  </si>
  <si>
    <t xml:space="preserve">62/24 moo.1  หนองรี เมืองชลบุรี ชลบุรี 20000 โทร.0619899454 </t>
  </si>
  <si>
    <t>ไม่ผ่าน</t>
  </si>
  <si>
    <t>ภาษาอังกฤษสำหรับพนักงานบริการ</t>
  </si>
  <si>
    <t>17 - 21 พฤศจิกายน 2568</t>
  </si>
  <si>
    <t>พนักงานในสถานประกอบกิจการ</t>
  </si>
  <si>
    <t>สยาม เบย์ชอร์ รีสอร์ท พัทยา</t>
  </si>
  <si>
    <t>เมืองพัทยา</t>
  </si>
  <si>
    <t>ภาษาอังกฤษ</t>
  </si>
  <si>
    <t>นายภาณุภัค ผ่องอำพันธ์</t>
  </si>
  <si>
    <t>14/2</t>
  </si>
  <si>
    <t>หนองปรือ</t>
  </si>
  <si>
    <t>การทำผลิตภัณฑ์ต่าง ๆ จากผ้า</t>
  </si>
  <si>
    <t>แรงงานเฉพาะ</t>
  </si>
  <si>
    <t>13 - 17 พฤศจิกายน 2568</t>
  </si>
  <si>
    <t>สำนักงานเทศบาลตำบลกุฎโง้ง อำเภอพนัสนิคม</t>
  </si>
  <si>
    <t>การเป็นผู้ประกอบการโซลาร์เซลล์</t>
  </si>
  <si>
    <t>14 - 16 พฤศจิกายน 2568</t>
  </si>
  <si>
    <t>ไฟฟ้า โซลาร์เซลล์</t>
  </si>
  <si>
    <t>นายศันชนก พลายเดช</t>
  </si>
  <si>
    <t>707/297</t>
  </si>
  <si>
    <t>นายกฤติเดช เพชรเสนา</t>
  </si>
  <si>
    <t>285/57ม.6 ทุ่งสุขลา ศรีราชา ชลบุรี 20230 โทร.0858790429</t>
  </si>
  <si>
    <t>นายกิตติศักดิ์ ชีวะประมง</t>
  </si>
  <si>
    <t>559/112 บางบ่อ บางบ่อ สมุทรปราการ 10560 โทร.0966989615</t>
  </si>
  <si>
    <t>นายคมษิต โสชารี</t>
  </si>
  <si>
    <t>30/61 หมู่บ้าน กฤตยา ถนนบางนาตราด บางพลีใหญ่ บางพลี สมุทรปราการ 10540 โทร.0854879797</t>
  </si>
  <si>
    <t>นายจตุฤทธิ์ บูรณะสิน</t>
  </si>
  <si>
    <t>36/36 ม9 หนองปรือ บางละมุง ชลบุรี 20150 โทร.0822024021</t>
  </si>
  <si>
    <t>นายจักรพันธุ์ ดวงดี</t>
  </si>
  <si>
    <t>197/103 หมู่ 7 วังเย็น แปลงยาว ฉะเชิงเทรา 24190 โทร.0628048525</t>
  </si>
  <si>
    <t>นายเจษรินทร์ เจริญศิริ</t>
  </si>
  <si>
    <t>99/309 นาป่า เมืองชลบุรี ชลบุรี 20000 โทร.0807977424</t>
  </si>
  <si>
    <t>นายชนะภัย ด่านกำจัด</t>
  </si>
  <si>
    <t>20/5 นาป่า เมืองชลบุรี ชลบุรี 20000 โทร.0941329105</t>
  </si>
  <si>
    <t>นายธนกฤต หวังธนานันท์</t>
  </si>
  <si>
    <t>87/346 ถนนบางกรวยไทรน้อย บางรักใหญ่ บางบัวทอง นนทบุรี 11110 โทร.0863378577</t>
  </si>
  <si>
    <t>นายธภัทร กีรติยาพงษ์</t>
  </si>
  <si>
    <t>49/9 หมู่บ้านสามมุกวิลเลจ ถนนบางแสนสาย 4 เหนือบางแสนสาย 4 เหนือ แสนสุข เมืองชลบุรี ชลบุรี 20130 โทร.0863333033</t>
  </si>
  <si>
    <t>นายนรินทร์ชัย ปัญญาสรโรจน์</t>
  </si>
  <si>
    <t>89/1หมู่3  หนองตำลึง พานทอง ชลบุรี 20160 โทร.0922564161</t>
  </si>
  <si>
    <t>นายนฤพล โยลัย</t>
  </si>
  <si>
    <t>888/40 ม.7 เอสซี วิลเลจ(อิสเทิร์น-บ่อวิน) บ่อวิน ศรีราชา ชลบุรี 20230 โทร.0833440336</t>
  </si>
  <si>
    <t>นายพินิต วงษ์ยี่กุล</t>
  </si>
  <si>
    <t>80/2 ซอยจรัญสนิทวงศ์ 96/1 ถนนจรัญสนิทวงศ์ บางอ้อ บางพลัด กรุงเทพมหานคร 10700 โทร.0660288622</t>
  </si>
  <si>
    <t>นายภูมิพัฒน์ บุญคร่ำ</t>
  </si>
  <si>
    <t>228/134 บางละมุง บางละมุง ชลบุรี 20150 โทร.0638761596</t>
  </si>
  <si>
    <t>นายวรพล ฉิมม่วง</t>
  </si>
  <si>
    <t>69/66 ถนนหมู่5 เสม็ด เมืองชลบุรี ชลบุรี 20000 โทร.0959325253</t>
  </si>
  <si>
    <t>นายวุฒิวงศ์ จันทะสอน</t>
  </si>
  <si>
    <t>84/121 ถนนศุขประยูร นาป่า เมืองชลบุรี ชลบุรี 20000 โทร.0881938324</t>
  </si>
  <si>
    <t>นายสมชาย   แทนด้วง</t>
  </si>
  <si>
    <t>119/71 หมู่5 บางพลีใหญ่ บางพลี สมุทรปราการ 10540 โทร.0897890028</t>
  </si>
  <si>
    <t>นายสามารถ สว่างศรี</t>
  </si>
  <si>
    <t>329/836 ซอย ซอยรามอินทรา 125 มีนบุรี มีนบุรี กรุงเทพมหานคร  โทร.0891578132</t>
  </si>
  <si>
    <t>นายสุขุม ศรีม่วง</t>
  </si>
  <si>
    <t>33 ม.5 หนองปรือ พนัสนิคม ชลบุรี 20140 โทร.0899357371</t>
  </si>
  <si>
    <t>นายสุทัศน์ มินิ</t>
  </si>
  <si>
    <t>บ.เดอะคูลเซอร์วิส 88/8 ม.7 ถนนบางนา-ตราดกม.26 บางบ่อ บางบ่อ สมุทรปราการ 10560 โทร.0632041953</t>
  </si>
  <si>
    <t>นายอภิวัฒน์  ภักดีแสน</t>
  </si>
  <si>
    <t>147/85 ม.5 ห้วยกะปิ เมืองชลบุรี ชลบุรี 20130 โทร.0941791583</t>
  </si>
  <si>
    <t>นายอภิสิทธิ์ เกลาเกลี้ยง</t>
  </si>
  <si>
    <t>38 หนองปรือ พนัสนิคม ชลบุรี 20140 โทร.0886527723</t>
  </si>
  <si>
    <t>นางสาวกุลธาดา จตุพรนิภากุล</t>
  </si>
  <si>
    <t xml:space="preserve">33/2 พานทอง พานทอง ชลบุรี  </t>
  </si>
  <si>
    <t>นางสาวจารินี แพงไพรี</t>
  </si>
  <si>
    <t xml:space="preserve">20/1 กุฎโง้ง พนัสนิคม ชลบุรี  </t>
  </si>
  <si>
    <t>นางจารุวรรณ พานพ</t>
  </si>
  <si>
    <t xml:space="preserve">9/17 กุฎโง้ง พนัสนิคม ชลบุรี  </t>
  </si>
  <si>
    <t>นางสาวจิณณ์ณิชา เวียงจันทร์</t>
  </si>
  <si>
    <t xml:space="preserve">66 กุฎโง้ง พนัสนิคม ชลบุรี  </t>
  </si>
  <si>
    <t>นางสาวจินดา โนจิต</t>
  </si>
  <si>
    <t xml:space="preserve">130/54 หมู่ที่ 1 กุฎโง้ง พนัสนิคม ชลบุรี  </t>
  </si>
  <si>
    <t>นายเจริญ พุทธมิลินประทีป</t>
  </si>
  <si>
    <t xml:space="preserve">43 หมู่ที่ 2 กุฎโง้ง พนัสนิคม ชลบุรี  </t>
  </si>
  <si>
    <t>นางเฉลิมภรณ์ พงศ์กิจจาเลิศ</t>
  </si>
  <si>
    <t xml:space="preserve">30/37 ปากเพรียว เมืองสระบุรี สระบุรี  </t>
  </si>
  <si>
    <t>นางชนิตา นวมน้อย</t>
  </si>
  <si>
    <t xml:space="preserve">251 กุฎโง้ง พนัสนิคม ชลบุรี  </t>
  </si>
  <si>
    <t>นายชูชาติ วัชชา</t>
  </si>
  <si>
    <t xml:space="preserve">1 กุฎโง้ง พนัสนิคม ชลบุรี  </t>
  </si>
  <si>
    <t>นางสาวทัศนีย์ วงษ์แก้ว</t>
  </si>
  <si>
    <t xml:space="preserve">40/1 กุฎโง้ง พนัสนิคม ชลบุรี  </t>
  </si>
  <si>
    <t>นายประกาย รัตนมณี</t>
  </si>
  <si>
    <t xml:space="preserve">130/79 กุฎโง้ง พนัสนิคม ชลบุรี  </t>
  </si>
  <si>
    <t>นางประภาวรินทร์ เวียงจันทร์</t>
  </si>
  <si>
    <t xml:space="preserve">88/144 หนองกี่ กบินทร์บุรี ปราจีนบุรี  </t>
  </si>
  <si>
    <t>นางสาวประไพ วงศ์พรม</t>
  </si>
  <si>
    <t xml:space="preserve"> กุฎโง้ง พนัสนิคม ชลบุรี  </t>
  </si>
  <si>
    <t>นางสาวปุณญาภา ยิ้มแย้ม</t>
  </si>
  <si>
    <t xml:space="preserve">18/5 กุฎโง้ง พนัสนิคม ชลบุรี  </t>
  </si>
  <si>
    <t>นางไพศรี รุนสา</t>
  </si>
  <si>
    <t xml:space="preserve">6/1 กุฎโง้ง พนัสนิคม ชลบุรี  </t>
  </si>
  <si>
    <t>28/5 หมู่ 4 กุฎโง้ง พนัสนิคม ชลบุรี  โทร.0972906535</t>
  </si>
  <si>
    <t>นางยศวดี มาศนอก</t>
  </si>
  <si>
    <t xml:space="preserve">29-14 กุฎโง้ง พนัสนิคม ชลบุรี  </t>
  </si>
  <si>
    <t>นางเรียม จุมพล</t>
  </si>
  <si>
    <t xml:space="preserve">55/2 หมู่ที่ 5 กุฎโง้ง พนัสนิคม ชลบุรี  </t>
  </si>
  <si>
    <t>นางวรรณา รักอารมณ์</t>
  </si>
  <si>
    <t xml:space="preserve">130/22 กุฎโง้ง พนัสนิคม ชลบุรี  </t>
  </si>
  <si>
    <t>นางสาววิชนีย์ บรรเทา</t>
  </si>
  <si>
    <t xml:space="preserve">29 กุฎโง้ง พนัสนิคม ชลบุรี  </t>
  </si>
  <si>
    <t>นางวิภาพร สีไวพัด</t>
  </si>
  <si>
    <t xml:space="preserve">13/17 กุฎโง้ง พนัสนิคม ชลบุรี  </t>
  </si>
  <si>
    <t>นางสมคิด พลเผ่า</t>
  </si>
  <si>
    <t xml:space="preserve">15/9 กุฎโง้ง พนัสนิคม ชลบุรี  </t>
  </si>
  <si>
    <t>นางสาวสมจิตร์ เจริญวัฒน์</t>
  </si>
  <si>
    <t xml:space="preserve">5 กุฎโง้ง พนัสนิคม ชลบุรี  </t>
  </si>
  <si>
    <t>นางสาวสมพิศ อารีรักษ์</t>
  </si>
  <si>
    <t xml:space="preserve">31/234 หมู่ที่ 3 กุฎโง้ง พนัสนิคม ชลบุรี  </t>
  </si>
  <si>
    <t>นางสาวสมพิศ ไมตรีจิตร</t>
  </si>
  <si>
    <t xml:space="preserve">110 หมู่ที่ 5 กุฎโง้ง พนัสนิคม ชลบุรี  </t>
  </si>
  <si>
    <t>นางสาวสายใจ ปรีเปรม</t>
  </si>
  <si>
    <t xml:space="preserve">18/8 หมู่ที่ 5 กุฎโง้ง พนัสนิคม ชลบุรี  </t>
  </si>
  <si>
    <t>นางสาวสิริพร แซ่โง้ว</t>
  </si>
  <si>
    <t xml:space="preserve">54/5 หมู่ที่ 5 กุฎโง้ง พนัสนิคม ชลบุรี  </t>
  </si>
  <si>
    <t>นางสุก ณะรงษี</t>
  </si>
  <si>
    <t xml:space="preserve">119 หมู่ที่ 5 กุฎโง้ง พนัสนิคม ชลบุรี  </t>
  </si>
  <si>
    <t>นางสุนทร แสงเดช</t>
  </si>
  <si>
    <t xml:space="preserve">18/2 หมู่ที่ 8 หน้าพระธาตุ พนัสนิคม ชลบุรี  </t>
  </si>
  <si>
    <t>นางสาวสุวิมล จุมพล</t>
  </si>
  <si>
    <t xml:space="preserve">26 หมู่ที่ 5 กุฎโง้ง พนัสนิคม ชลบุรี  </t>
  </si>
  <si>
    <t>นางอัญชรา โยโร</t>
  </si>
  <si>
    <t xml:space="preserve">20/2 กุฎโง้ง พนัสนิคม ชลบุรี  </t>
  </si>
  <si>
    <t>นางสาวขวัญใจ   สะตะ</t>
  </si>
  <si>
    <t>310/2 ม.10 หนองปรือ บางละมุง ชลบุรี 20150 โทร.098-804-6865</t>
  </si>
  <si>
    <t>นายเจตริน ทองดี</t>
  </si>
  <si>
    <t>559 หนองปรือ บางละมุง ชลบุรี 20150 โทร.0611265867</t>
  </si>
  <si>
    <t>นายณรงค์  กอยลามภู</t>
  </si>
  <si>
    <t>310/2 ม.10 หนองปรือ บางละมุง ชลบุรี 20150 โทร.080-1015543</t>
  </si>
  <si>
    <t>นางสาวณอันธิกา  คำอาทิด</t>
  </si>
  <si>
    <t>559 หนองปรือ บางละมุง ชลบุรี 20150 โทร.0811615803</t>
  </si>
  <si>
    <t>นายณัฐภัทร์  นันทะบัน</t>
  </si>
  <si>
    <t>559 หนองปรือ บางละมุง ชลบุรี 20150 โทร.0926944598</t>
  </si>
  <si>
    <t>นายทักษิณ ภูมิทอง</t>
  </si>
  <si>
    <t>559 หนองปรือ บางละมุง ชลบุรี 20150 โทร.0957575450</t>
  </si>
  <si>
    <t>นายธนภูมิ  สุวรรณ์</t>
  </si>
  <si>
    <t>559 หนองปรือ บางละมุง ชลบุรี 20150 โทร.0615524111</t>
  </si>
  <si>
    <t>นายธีระวัฒน์  สิงหาทอ</t>
  </si>
  <si>
    <t>310/3 ม.10 หนองปรือ บางละมุง ชลบุรี 20150 โทร.0637148507</t>
  </si>
  <si>
    <t>นายนัฐพงศ์  สมรื่น</t>
  </si>
  <si>
    <t>310/2 ม.10 หนองปรือ บางละมุง ชลบุรี 20150 โทร.0842075668</t>
  </si>
  <si>
    <t>นายบัณฑิต  เวียงสิมา</t>
  </si>
  <si>
    <t>559 หนองปรือ บางละมุง ชลบุรี 20150 โทร.0934654589</t>
  </si>
  <si>
    <t>นายบุญศิลป์   ปะติตัง</t>
  </si>
  <si>
    <t>310/2 ม.10 หนองปรือ บางละมุง ชลบุรี 20150 โทร.087-138-4756</t>
  </si>
  <si>
    <t>นายประกฤต  สุกใส</t>
  </si>
  <si>
    <t>310/2 ม.10 หนองปรือ บางละมุง ชลบุรี 20150 โทร.087-606-9347</t>
  </si>
  <si>
    <t>นางสาวเพียงเพ็ญ แสงใส</t>
  </si>
  <si>
    <t>559 หนองปรือ บางละมุง ชลบุรี 20150 โทร.0896071405</t>
  </si>
  <si>
    <t>นางสาวมะลิ วงค์ธร</t>
  </si>
  <si>
    <t>559 หนองปรือ บางละมุง ชลบุรี 20150 โทร.0882108865</t>
  </si>
  <si>
    <t>นางสาวยุวดี ศรีดา</t>
  </si>
  <si>
    <t>559 หนองปรือ บางละมุง ชลบุรี 20150 โทร.0623940725</t>
  </si>
  <si>
    <t>นางสาวรวินท์รดา  แก้วเขียว</t>
  </si>
  <si>
    <t>559 หนองปรือ บางละมุง ชลบุรี 20150 โทร.0935427246</t>
  </si>
  <si>
    <t>นางสาววาสนา อินทสร้อย</t>
  </si>
  <si>
    <t>310/2 ม.10 หนองปรือ บางละมุง ชลบุรี 20150 โทร.0917391614</t>
  </si>
  <si>
    <t>นายศิระ  ผลิผล</t>
  </si>
  <si>
    <t>310/2 ม.10 หนองปรือ บางละมุง ชลบุรี 20150 โทร.0944525524</t>
  </si>
  <si>
    <t>นางสุกัญญา  กมลหัต</t>
  </si>
  <si>
    <t>310/2 ม.10 หนองปรือ บางละมุง ชลบุรี 20150 โทร.087-150-8183</t>
  </si>
  <si>
    <t>นางสาวสุพัตรา เพชรใจดี</t>
  </si>
  <si>
    <t>559 หนองปรือ บางละมุง ชลบุรี 20150 โทร.0801456002</t>
  </si>
  <si>
    <t>นางสาวสุรีภรณ์  เสริมศิริ</t>
  </si>
  <si>
    <t>310/2 ม.10 หนองปรือ บางละมุง ชลบุรี 20150 โทร.0636249544</t>
  </si>
  <si>
    <t>นางสาวอรทัย  หมวกขุนทด</t>
  </si>
  <si>
    <t>559 หนองปรือ บางละมุง ชลบุรี 20150 โทร.0656141023</t>
  </si>
  <si>
    <t>นางสาวอรอุมา  บุตรดาสิม</t>
  </si>
  <si>
    <t>559 หนองปรือ บางละมุง ชลบุรี 20150 โทร.0803546170</t>
  </si>
  <si>
    <t>นางสาวอรุณี  เหมือนวาจา</t>
  </si>
  <si>
    <t>310/2 ม.10 หนองปรือ บางละมุง ชลบุรี 20150 โทร.0983285359</t>
  </si>
  <si>
    <t>นางสาวอารยา  อินทร์ลา</t>
  </si>
  <si>
    <t>559 หนองปรือ บางละมุง ชลบุรี 20150 โทร.0615918503</t>
  </si>
  <si>
    <t>บย.5/69</t>
  </si>
  <si>
    <t>5543</t>
  </si>
  <si>
    <t>การประกอบและซ่อมบำรุงแบตเตอรี่สำหรับยานยนต์ไฟฟ้า</t>
  </si>
  <si>
    <t>13,14,20,21 ธันวาคม 2568</t>
  </si>
  <si>
    <t>8,9,15,16 ธันวาคม 2568</t>
  </si>
  <si>
    <t>ช่างอเนกประสงค์</t>
  </si>
  <si>
    <t>6 - 10 ธันวาคม 2568</t>
  </si>
  <si>
    <t>โรงเรียนวัดโคกเพลาะ อำเภอพนัสนิคม</t>
  </si>
  <si>
    <t>15 - 19 ธันวาคม 2568</t>
  </si>
  <si>
    <t>817544663 ให้ติดต่อเลขาคุณ ANN ทางไลน์</t>
  </si>
  <si>
    <t>เทคนิคการสอนงาน</t>
  </si>
  <si>
    <t>นายกิตติ เกิดปาง</t>
  </si>
  <si>
    <t xml:space="preserve">26 หมู่ที่ 4 โคกเพลาะ พนัสนิคม ชลบุรี - </t>
  </si>
  <si>
    <t>นายฉัตรชัย สุรินทร์</t>
  </si>
  <si>
    <t>19/9 หน้าพระธาตุ พนัสนิคม ชลบุรี 20140 โทร.0947895269</t>
  </si>
  <si>
    <t>นายชาญชัย พูลผล</t>
  </si>
  <si>
    <t xml:space="preserve">3   ม.5 โคกเพลาะ พนัสนิคม ชลบุรี 20140 </t>
  </si>
  <si>
    <t>นายติณณ์ สุวรรณกูล</t>
  </si>
  <si>
    <t>26 ม.6 ถนนบ้านกลาง กุฎโง้ง พนัสนิคม ชลบุรี 20140 โทร.0882250615</t>
  </si>
  <si>
    <t>นายธนโชติ ชิ้มเจริญ</t>
  </si>
  <si>
    <t xml:space="preserve">3/1 หมู่ที่ 4 หน้าพระธาตุ พนัสนิคม ชลบุรี - </t>
  </si>
  <si>
    <t>นายประกิจ ธารวิทยากุล</t>
  </si>
  <si>
    <t xml:space="preserve">61ม4 ไร่หลักทอง พนัสนิคม ชลบุรี  </t>
  </si>
  <si>
    <t>นายภาสุ พุทธวงค์</t>
  </si>
  <si>
    <t>92/51ม.2 หมู่บ้านรินรดา ถนนสุขประยูร หนองตำลึง พานทอง ชลบุรี 20160 โทร.0828971266</t>
  </si>
  <si>
    <t>นางสาวยมนา มธุรรส</t>
  </si>
  <si>
    <t xml:space="preserve">35 หมู่ที่ 13 หนองเหียง พนัสนิคม ชลบุรี  </t>
  </si>
  <si>
    <t>นายวรพจน์ ศิริมาจันทร์</t>
  </si>
  <si>
    <t>35/5 ม.4 ถนนสุวินทวงศ์ คลองนครเนื่องเขต เมืองฉะเชิงเทรา ฉะเชิงเทรา 24000 โทร.0991597859</t>
  </si>
  <si>
    <t>นายวิเชียร จันทร</t>
  </si>
  <si>
    <t xml:space="preserve">78/5 หมู่ที่ 7 ท่าข้าม พนัสนิคม ชลบุรี  </t>
  </si>
  <si>
    <t>นายวีระพงษ์ ทองเหลือง</t>
  </si>
  <si>
    <t>267/9 หมู่10 เกาะจันทร์ เกาะจันทร์ ชลบุรี 20240 โทร.0954430906</t>
  </si>
  <si>
    <t>นายวุฒิรัฐ ขัดศรี</t>
  </si>
  <si>
    <t>98/16 ม.8 บางนาง พานทอง ชลบุรี 20160 โทร.0910483071</t>
  </si>
  <si>
    <t>นายสมพร ผ่องใส</t>
  </si>
  <si>
    <t>- ละหาร ปลวกแดง ระยอง 21140 โทร.089-7501088</t>
  </si>
  <si>
    <t>นายสรายุทธ์ ฉายประเสริฐศรี</t>
  </si>
  <si>
    <t xml:space="preserve">18/3 หมู่ที่ 8 หมอนนาง พนัสนิคม ชลบุรี - </t>
  </si>
  <si>
    <t>นายสราวุธ มานพ</t>
  </si>
  <si>
    <t xml:space="preserve">95 หมู่ที่ 7 หนองปรือ พนัสนิคม ชลบุรี - </t>
  </si>
  <si>
    <t>นายสุทัศน์ รอดมี</t>
  </si>
  <si>
    <t>29/4 หมู่  ซอย  พนัสนิคม พนัสนิคม ชลบุรี  โทร.0928584416</t>
  </si>
  <si>
    <t>นายสุวัฒน์ แสงสุขหิรัญ</t>
  </si>
  <si>
    <t>44/42 ซอย ซอยรามอินทรา 34 แยก 13 ท่าแร้ง บางเขน กรุงเทพมหานคร 10230 โทร.0949372356</t>
  </si>
  <si>
    <t>นายสุวิชา จักรตอน</t>
  </si>
  <si>
    <t>205/19 ตะเคียนเตี้ย บางละมุง ชลบุรี 20150 โทร.0809418631</t>
  </si>
  <si>
    <t>นายสุวี กองทำ</t>
  </si>
  <si>
    <t>4/1 หมู่ที่ 13 หนองเหียง พนัสนิคม ชลบุรี 20140 โทร.0851333961</t>
  </si>
  <si>
    <t>นายอุดมศักดิ์ รุ่งขจรกลิ่น</t>
  </si>
  <si>
    <t>55/271 พลูตาหลวง สัตหีบ ชลบุรี 20180 โทร.0860714074</t>
  </si>
  <si>
    <t>ปากเพรียว</t>
  </si>
  <si>
    <t>เมืองสระบุรี</t>
  </si>
  <si>
    <t>สระบุรี</t>
  </si>
  <si>
    <t>ซอยพิชัยณรงค์สงคราม</t>
  </si>
  <si>
    <t>นางสาวกัญญาลักษณ์ เกาะแก้ว</t>
  </si>
  <si>
    <t>289/18 ทุ่งสุขลา ศรีราชา ชลบุรี 20230 โทร.0944079295</t>
  </si>
  <si>
    <t>นายกิตติศักดิ์ สุธาบุญ</t>
  </si>
  <si>
    <t>95/21 นาป่า เมืองชลบุรี ชลบุรี 20000 โทร.0954638168</t>
  </si>
  <si>
    <t>นางสาวจรัญญา ธรรมโชติ</t>
  </si>
  <si>
    <t>บริษัทเด็นเค็นทันชิไทยแลนด์จำกัด 23/16 ม.2 หนองรี เมืองชลบุรี ชลบุรี 20000 โทร.0887190911</t>
  </si>
  <si>
    <t>นางสาวจิรวดี ใจทน</t>
  </si>
  <si>
    <t>1/100 อรัญญิก เมืองพิษณุโลก พิษณุโลก 65000 โทร.0647720363</t>
  </si>
  <si>
    <t>นายชัยวัฒน์ แซ่จู</t>
  </si>
  <si>
    <t>91/20 หมู่10 ทุ่งสุขลา ศรีราชา ชลบุรี 20230 โทร.0934387936</t>
  </si>
  <si>
    <t>ว่าที่ร้อยตรีณัฐการ เจริญชาตรีกุล</t>
  </si>
  <si>
    <t>288 ม. 3 ถนนท่าเรือแหลมฉบัง ทุ่งสุขลา ศรีราชา ชลบุรี 20230 โทร.0819060479</t>
  </si>
  <si>
    <t>นายธานินทร์ คุยศรี</t>
  </si>
  <si>
    <t>210/27  ทุ่งสุขลา ศรีราชา ชลบุรี 20230 โทร.0863320539</t>
  </si>
  <si>
    <t>นางสาวนิรชา แสนกล้า</t>
  </si>
  <si>
    <t>23/16  หมู่ 2 หนองรี เมืองชลบุรี ชลบุรี 20000 โทร.0824819737</t>
  </si>
  <si>
    <t>นายปริญญา งามฐรัตน์วรเมธ</t>
  </si>
  <si>
    <t>207 หนองชาก บ้านบึง ชลบุรี 20170 โทร.0805787259</t>
  </si>
  <si>
    <t>นายปิยวัฒน์ ลอออรรถพงศ์</t>
  </si>
  <si>
    <t>41/21 หมู่ 10 ทุ่งสุขลา ศรีราชา ชลบุรี 20230 โทร.0812082060</t>
  </si>
  <si>
    <t>นายพลวรรษธ์ ยาท้าว</t>
  </si>
  <si>
    <t>97 ถนนสุวินทวงศ์ ศาลาแดง บางน้ำเปรี้ยว ฉะเชิงเทรา 24000 โทร.0917469590</t>
  </si>
  <si>
    <t>นางสาวพาศุกร์ ถนอมนาค</t>
  </si>
  <si>
    <t>48/4 หมู่ 3 สนามจันทร์ บ้านโพธิ์ ฉะเชิงเทรา  โทร.0815542997</t>
  </si>
  <si>
    <t>นายพิเชฏฐ์ จันทรบุตร</t>
  </si>
  <si>
    <t>129/12 ถนนศรีราชา หนองบายบู่ หนองขาม ศรีราชา ชลบุรี 20230 โทร.0816854826</t>
  </si>
  <si>
    <t>นายภาคภูมิ ดีสูงเนิน</t>
  </si>
  <si>
    <t>63 หมู่ที่ 2 ถนนมิตรภาพ มะเกลือใหม่ สูงเนิน นครราชสีมา 30170 โทร.0896637421</t>
  </si>
  <si>
    <t>นางสาวมณธิรา วิชาเกวียน</t>
  </si>
  <si>
    <t>45/45 ทุ่งสุขลา ศรีราชา ชลบุรี 20230 โทร.0994949228</t>
  </si>
  <si>
    <t>นายมานะ ขาวเงิน</t>
  </si>
  <si>
    <t>43 บางพระ ศรีราชา ชลบุรี 20110 โทร.0814518944</t>
  </si>
  <si>
    <t>นางสาวรชาดา หยองอนุกูล</t>
  </si>
  <si>
    <t>78/715 หมู่ 9 ถนนบางบัวทอง-สุพรรณบุรี ละหาร บางบัวทอง นนทบุรี 11110 โทร.0859964244</t>
  </si>
  <si>
    <t>นายวัชรพงศ์ นิธิรัศมีรุ่งกิจ</t>
  </si>
  <si>
    <t>898/30 ทุ่งสุขลา ศรีราชา ชลบุรี 20230 โทร.0616203542</t>
  </si>
  <si>
    <t>นายวัชระ ถาวรสิริจรัส</t>
  </si>
  <si>
    <t>99/21-22 ม2  หนองไม้แดง เมืองชลบุรี ชลบุรี 20000 โทร.038203094</t>
  </si>
  <si>
    <t>นายอานุวัตร รัมยประยูร</t>
  </si>
  <si>
    <t>617/106 ถนนอนามัยงามเจริญ ท่าข้าม บางขุนเทียน กรุงเทพมหานคร 10150 โทร.0818992232</t>
  </si>
  <si>
    <t>นายอำนาจ กองปัญญา</t>
  </si>
  <si>
    <t>18/76ม.3 ถนน9กม. สุรศักดิ์ ศรีราชา ชลบุรี 20110 โทร.0818331749</t>
  </si>
  <si>
    <t>นายกรวิทย์ ธีรวัฒนเศรษฐ์</t>
  </si>
  <si>
    <t>182/ข ซ.ฑีฆามารค บางปลาสร้อย เมืองชลบุรี ชลบุรี 20000 โทร.0866440602</t>
  </si>
  <si>
    <t>นายจิรานุวัฒน์ จีรพัฒน์พาณิชย์</t>
  </si>
  <si>
    <t>50/389 หมู่ที่2 บางพลีใหญ่ บางพลี สมุทรปราการ 10540 โทร.0612367855</t>
  </si>
  <si>
    <t>นายจีระศักดิ์ วรแสน</t>
  </si>
  <si>
    <t>46/2 ม.8 ดู่ กันทรารมย์ ศรีสะเกษ 33130 โทร.0884739262</t>
  </si>
  <si>
    <t>นายณรงค์   ลุนละวงษ์</t>
  </si>
  <si>
    <t>124 หมู่ที่ 7 โคกก่อ เมืองมหาสารคาม มหาสารคาม 44000 โทร.0649091181</t>
  </si>
  <si>
    <t>นายธนภณ นิตยวรรณ</t>
  </si>
  <si>
    <t>32/3  ซอยคลองบางปลาสร้อย ถนนคลองบางปลาสร้อย บางปลาสร้อย เมืองชลบุรี ชลบุรี 20000 โทร.0970190683?</t>
  </si>
  <si>
    <t>นายธวัช หาคุ้มคลัง</t>
  </si>
  <si>
    <t>51/98 หมู่4 ท่าตลาด สามพราน นครปฐม 73110 โทร.0901439847</t>
  </si>
  <si>
    <t>นายปรีชา อนันต์กีรติการ</t>
  </si>
  <si>
    <t>8 ถนนเซิดน้อย ซ.12 บ้านบึง บ้านบึง ชลบุรี 20170 โทร.0817814717</t>
  </si>
  <si>
    <t>นายพินิจ แซ่ลู่</t>
  </si>
  <si>
    <t>85/101 หมู่11 นาป่า เมืองชลบุรี ชลบุรี 20000 โทร.0814106247</t>
  </si>
  <si>
    <t>นายภาณุ สายยศ</t>
  </si>
  <si>
    <t>79 หมุ่1 ถนนปัทมานนท์ บึง เขวาสินรินทร์ สุรินทร์ 32000 โทร.0930871724</t>
  </si>
  <si>
    <t>นายมิตรอุทัย อุปมา</t>
  </si>
  <si>
    <t>127/259 หมู่.3 เสม็ด เมืองชลบุรี ชลบุรี 20000 โทร.0998833688</t>
  </si>
  <si>
    <t>นายเรืองศักดิ์ สัตยาพิพัฒน์</t>
  </si>
  <si>
    <t>15/4 ม.11 ถนน  หน้าพระธาตุ พนัสนิคม ชลบุรี 20140 โทร.0814015325</t>
  </si>
  <si>
    <t>นายสมศักดิ์ คุ้มดำ</t>
  </si>
  <si>
    <t xml:space="preserve">75/8 ท่าบุญมี เกาะจันทร์ ชลบุรี  </t>
  </si>
  <si>
    <t>นายสิทธิชัย ลิ้มจำรูญรัตน์</t>
  </si>
  <si>
    <t>107 ถนนตากสิน ดาวคะนอง ธนบุรี กรุงเทพมหานคร 10600 โทร.0801450161</t>
  </si>
  <si>
    <t>นายสุพจน์ ชาญสิกขกร</t>
  </si>
  <si>
    <t>16/343 ห้วยกะปิ เมืองชลบุรี ชลบุรี 20130 โทร.0897888525</t>
  </si>
  <si>
    <t>นายสุเมธ ถิรเนตร</t>
  </si>
  <si>
    <t>75/13 ม.5 อ่างศิลา เมืองชลบุรี ชลบุรี 20000 โทร.0835966333</t>
  </si>
  <si>
    <t>นายสโรช ทรัพย์บุญมี</t>
  </si>
  <si>
    <t>61/11 ถนนราษฎร์ประสงค์ บางทราย เมืองชลบุรี ชลบุรี 20000 โทร.0891833883</t>
  </si>
  <si>
    <t>นายอัครพล   แก้วพุฒ</t>
  </si>
  <si>
    <t>30/4 หมู่ที่ 5  เวียงทอง สูงเม่น แพร่ 54000 โทร.0804989922</t>
  </si>
  <si>
    <t>นายอัฑฒ์ บุญเจริญ</t>
  </si>
  <si>
    <t>38/35 หมู่18 บางปะกง บางปะกง ฉะเชิงเทรา 24130 โทร.0894424722</t>
  </si>
  <si>
    <t>นายอานนท์ แสนศรีใจ</t>
  </si>
  <si>
    <t>48/47 หนองปลาไหล บางละมุง ชลบุรี 20150 โทร.0863582206</t>
  </si>
  <si>
    <t>พนักงานขับรถฟอร์กลิฟต์ไม่เกิน 10 ตัน</t>
  </si>
  <si>
    <t>19 - 22 มกราคม 2569</t>
  </si>
  <si>
    <t>นายกฤษฎา จันทร์เมือง</t>
  </si>
  <si>
    <t>687 / 3 หมู่1 ถนนห้วยเฝ้าซอย 10 หนองขาม ศรีราชา ชลบุรี 20230 โทร.087-536-7134</t>
  </si>
  <si>
    <t>นายจารุวัตร นิสสะ</t>
  </si>
  <si>
    <t>700/145  ม.5 คลองตำหรุ เมืองชลบุรี ชลบุรี 20000 โทร.0638249491</t>
  </si>
  <si>
    <t>นายชวลิต ดัชถุยาวัตร</t>
  </si>
  <si>
    <t>700/867 หมู่ 3 บริษัทสยามคูโบต้าคอร์ปอเรชั่น จำกัด หนองกะขะ พานทอง ชลบุรี 20160 โทร.0808340291</t>
  </si>
  <si>
    <t>นางสาวฐานิตา ยินดีธรรม</t>
  </si>
  <si>
    <t>549/501 ถนนจรัญสนิทวงศ์37 บางขุนศรี บางกอกน้อย กรุงเทพมหานคร 10700 โทร.0802015100</t>
  </si>
  <si>
    <t>นายดนัยเทพ ใจตรง</t>
  </si>
  <si>
    <t>93/260 หมู่ 10 หนองขาม ศรีราชา ชลบุรี 20230 โทร.0982590024</t>
  </si>
  <si>
    <t>นายธนพล เพ่งพิศ</t>
  </si>
  <si>
    <t>16/19 พานทอง พานทอง ชลบุรี 20160 โทร.0926175869</t>
  </si>
  <si>
    <t>นายธีรชัย โชตินันทกุล</t>
  </si>
  <si>
    <t>520/17 ม.3 หนองขาม ศรีราชา ชลบุรี 20230 โทร.088-0488693</t>
  </si>
  <si>
    <t>นายประวีณ พรหมเพชร</t>
  </si>
  <si>
    <t>188/88 หมู่ 5 ห้วยกะปิ เมืองชลบุรี ชลบุรี 20130 โทร.0829749979</t>
  </si>
  <si>
    <t>นายปรีดา สาลีศรี</t>
  </si>
  <si>
    <t>700/236 บ้านเก่า พานทอง ชลบุรี 20160 โทร.0801050851</t>
  </si>
  <si>
    <t>นายไพโรจน์ เพชรรัตน์</t>
  </si>
  <si>
    <t>71 บ้านลำนาว บางขัน นครศรีธรรมราช 80360 โทร.0658177118</t>
  </si>
  <si>
    <t>นางสาวภัควัน จันทร์เพ็ญ</t>
  </si>
  <si>
    <t>Gold Conner Apartment, (ห้อง608)  129/55 ม.2  สุรศักดิ์ ศรีราชา ชลบุรี 20110 โทร.0861717603</t>
  </si>
  <si>
    <t>นายมลชัย ผาสุข</t>
  </si>
  <si>
    <t>98/32 บางสมัคร บางปะกง ฉะเชิงเทรา 24130 โทร.0929904779</t>
  </si>
  <si>
    <t>นายโยธิน พิกุล</t>
  </si>
  <si>
    <t>165/26 ทุ่งสุขลา ศรีราชา ชลบุรี 20230 โทร.088-0488693</t>
  </si>
  <si>
    <t>นายวัชรชัย ครองยุทธ</t>
  </si>
  <si>
    <t>182 ม.4 เขื่องใน เขื่องใน อุบลราชธานี 34150 โทร.0934954666</t>
  </si>
  <si>
    <t>นายวีระพล เหลาเพ็ง</t>
  </si>
  <si>
    <t>นายศุภชัย ปอมขุนทด</t>
  </si>
  <si>
    <t>165 ม.2 เมืองยาง ชำนิ บุรีรัมย์ 31110 โทร.088-0488693</t>
  </si>
  <si>
    <t>นายสมพงษ์ ชัยรุจจรูญ</t>
  </si>
  <si>
    <t>Saimkubota Corporation Co.,Ltd700/867  หนองกะขะ พานทอง ชลบุรี 20160 โทร.0845680161</t>
  </si>
  <si>
    <t>นายสันติ ชำนิเกตกรณ์</t>
  </si>
  <si>
    <t>324 ถนนบ้านโพธิ์ คลองประเวศ บ้านโพธิ์ ฉะเชิงเทรา 24140 โทร.0970091003</t>
  </si>
  <si>
    <t>นางสาวหทัยชนก ศรีพุมมา</t>
  </si>
  <si>
    <t>42/17 หนองปลาไหล บางละมุง ชลบุรี 20150 โทร.0918242644</t>
  </si>
  <si>
    <t>นายอภิสิทธิ์ แก้วกลึงกลม</t>
  </si>
  <si>
    <t>41/11. หมู่บ้านฟ้าใสวิวล์2  หมู่5 ต.สำนักบก. อ.เมือง สำนักบก เมืองชลบุรี ชลบุรี 20000 โทร.0925506518</t>
  </si>
  <si>
    <t>นายอานนท์ เทศโล</t>
  </si>
  <si>
    <t>17/23 ถนนหมู่ 9 หนองขาม ศรีราชา ชลบุรี 20230 โทร.0802545620</t>
  </si>
  <si>
    <t>นายอำนาจ ทองเรียบ</t>
  </si>
  <si>
    <t>17/23 ถนนหมู่ 9 หนองขาม ศรีราชา ชลบุรี 20230 โทร.0610596150</t>
  </si>
  <si>
    <t>นายอิสระพงศ์ ขัติรัตน์</t>
  </si>
  <si>
    <t>106/33 ม.7 ถนนศรีราชา หนองยายบู่ สุรศักดิ์ ศรีราชา ชลบุรี 20110 โทร.0877463299</t>
  </si>
  <si>
    <t>การซ่อมบำรุงรักษาเครื่องทำความเย็นและเครื่องปรับอากาศ</t>
  </si>
  <si>
    <t>การซ่อมบำรุงรถจักรยานยนต์</t>
  </si>
  <si>
    <t>นายบพิตร พลชัย</t>
  </si>
  <si>
    <t>นายอุดมศักดิ์ ศิลสุนทร</t>
  </si>
  <si>
    <t>ซ่อมรถจักรยานยนต์</t>
  </si>
  <si>
    <t>ทหารกองประจำการและก่อนปลดประจำการ</t>
  </si>
  <si>
    <t>กองพลนาวิกโยธิน จังหวัดชลบุรี</t>
  </si>
  <si>
    <t>0920227230301</t>
  </si>
  <si>
    <t>บริษัท เทอร์ไบน์แอโร รีแพร์ จำกัด ตำบลบ้านเก่า อำเภอพานทอง จังหวัดชลบุรี</t>
  </si>
  <si>
    <t>12 – 23 มกราคม 2569</t>
  </si>
  <si>
    <t>11, 12, 18, 19 กุมภาพันธ์ 2569</t>
  </si>
  <si>
    <t>9 - 12 กุมภาพันธ์ 2569</t>
  </si>
  <si>
    <t>36</t>
  </si>
  <si>
    <t>บย.10/69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</si>
</sst>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[&lt;=99999999][$-1000000]0#\ ####\ ####;[$-1000000]0#\ ####\ ####"/>
    <numFmt numFmtId="188" formatCode="0############"/>
    <numFmt numFmtId="189" formatCode="[$-187041E]d\ mmm\ yy;@"/>
    <numFmt numFmtId="190" formatCode="[$-D87041E]&quot;วันที่&quot;\ \ \ \ \ \ \ \ \ \ &quot;เดือน&quot;\ \ mmmm\ &quot;พ.ศ. &quot;ปปปป;@"/>
  </numFmts>
  <fonts count="11" x14ac:knownFonts="1">
    <font>
      <sz val="16"/>
      <color theme="1"/>
      <name val="TH SarabunPSK"/>
      <family val="2"/>
      <charset val="222"/>
    </font>
    <font>
      <sz val="16"/>
      <color theme="1"/>
      <name val="TH SarabunPSK"/>
      <family val="2"/>
    </font>
    <font>
      <sz val="16"/>
      <color theme="1"/>
      <name val="Wingdings 2"/>
      <family val="1"/>
      <charset val="2"/>
    </font>
    <font>
      <sz val="8"/>
      <name val="TH SarabunPSK"/>
      <family val="2"/>
      <charset val="222"/>
    </font>
    <font>
      <sz val="16"/>
      <name val="TH SarabunPSK"/>
      <family val="2"/>
    </font>
    <font>
      <b/>
      <sz val="18"/>
      <name val="TH SarabunPSK"/>
      <family val="2"/>
    </font>
    <font>
      <b/>
      <sz val="16"/>
      <name val="TH SarabunPSK"/>
      <family val="2"/>
    </font>
    <font>
      <sz val="16"/>
      <name val="TH SarabunIT๙"/>
      <family val="2"/>
    </font>
    <font>
      <b/>
      <sz val="16"/>
      <name val="TH SarabunIT๙"/>
      <family val="2"/>
    </font>
    <font>
      <b/>
      <sz val="16"/>
      <color theme="1"/>
      <name val="TH SarabunPSK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0" fillId="0" borderId="0"/>
  </cellStyleXfs>
  <cellXfs count="104">
    <xf numFmtId="0" fontId="0" fillId="0" borderId="0" xfId="0"/>
    <xf numFmtId="0" fontId="1" fillId="0" borderId="0" xfId="0" applyFont="1"/>
    <xf numFmtId="18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1" fillId="0" borderId="0" xfId="0" quotePrefix="1" applyNumberFormat="1" applyFont="1"/>
    <xf numFmtId="49" fontId="1" fillId="0" borderId="0" xfId="0" applyNumberFormat="1" applyFont="1"/>
    <xf numFmtId="14" fontId="1" fillId="0" borderId="0" xfId="0" quotePrefix="1" applyNumberFormat="1" applyFont="1"/>
    <xf numFmtId="0" fontId="1" fillId="0" borderId="0" xfId="0" quotePrefix="1" applyFont="1"/>
    <xf numFmtId="1" fontId="1" fillId="0" borderId="0" xfId="0" applyNumberFormat="1" applyFont="1"/>
    <xf numFmtId="0" fontId="0" fillId="0" borderId="0" xfId="0" applyAlignment="1">
      <alignment horizontal="center"/>
    </xf>
    <xf numFmtId="188" fontId="0" fillId="0" borderId="0" xfId="0" applyNumberForma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vertical="top"/>
    </xf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indent="1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3" fontId="7" fillId="0" borderId="10" xfId="0" applyNumberFormat="1" applyFont="1" applyBorder="1"/>
    <xf numFmtId="3" fontId="7" fillId="0" borderId="11" xfId="0" applyNumberFormat="1" applyFont="1" applyBorder="1"/>
    <xf numFmtId="0" fontId="7" fillId="0" borderId="0" xfId="0" applyFont="1"/>
    <xf numFmtId="0" fontId="4" fillId="0" borderId="0" xfId="0" applyFont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indent="1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3" fontId="7" fillId="0" borderId="12" xfId="0" applyNumberFormat="1" applyFont="1" applyBorder="1"/>
    <xf numFmtId="0" fontId="4" fillId="0" borderId="8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3" fontId="8" fillId="0" borderId="13" xfId="0" applyNumberFormat="1" applyFont="1" applyBorder="1"/>
    <xf numFmtId="0" fontId="4" fillId="0" borderId="14" xfId="0" applyFont="1" applyBorder="1"/>
    <xf numFmtId="0" fontId="4" fillId="0" borderId="0" xfId="0" applyFont="1" applyAlignment="1">
      <alignment horizontal="left"/>
    </xf>
    <xf numFmtId="0" fontId="0" fillId="3" borderId="0" xfId="0" applyFill="1"/>
    <xf numFmtId="189" fontId="0" fillId="0" borderId="0" xfId="0" applyNumberFormat="1"/>
    <xf numFmtId="0" fontId="0" fillId="3" borderId="0" xfId="0" applyFill="1" applyAlignment="1">
      <alignment horizontal="center"/>
    </xf>
    <xf numFmtId="1" fontId="0" fillId="0" borderId="0" xfId="0" applyNumberFormat="1"/>
    <xf numFmtId="17" fontId="1" fillId="0" borderId="0" xfId="0" quotePrefix="1" applyNumberFormat="1" applyFont="1"/>
    <xf numFmtId="49" fontId="0" fillId="0" borderId="0" xfId="0" applyNumberFormat="1"/>
    <xf numFmtId="189" fontId="0" fillId="0" borderId="0" xfId="0" applyNumberFormat="1" applyAlignment="1">
      <alignment horizontal="center"/>
    </xf>
    <xf numFmtId="189" fontId="0" fillId="3" borderId="0" xfId="0" applyNumberFormat="1" applyFill="1"/>
    <xf numFmtId="49" fontId="1" fillId="0" borderId="0" xfId="0" quotePrefix="1" applyNumberFormat="1" applyFont="1"/>
    <xf numFmtId="49" fontId="0" fillId="3" borderId="0" xfId="0" applyNumberFormat="1" applyFill="1"/>
    <xf numFmtId="0" fontId="0" fillId="0" borderId="0" xfId="0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0" xfId="0" applyFill="1" applyAlignment="1">
      <alignment horizontal="center"/>
    </xf>
    <xf numFmtId="0" fontId="0" fillId="0" borderId="0" xfId="0" quotePrefix="1"/>
    <xf numFmtId="0" fontId="9" fillId="2" borderId="0" xfId="0" applyFont="1" applyFill="1" applyAlignment="1">
      <alignment horizontal="center"/>
    </xf>
    <xf numFmtId="4" fontId="0" fillId="0" borderId="0" xfId="0" applyNumberFormat="1"/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quotePrefix="1" applyNumberFormat="1" applyAlignment="1">
      <alignment horizontal="center"/>
    </xf>
    <xf numFmtId="4" fontId="0" fillId="3" borderId="0" xfId="0" applyNumberFormat="1" applyFill="1"/>
    <xf numFmtId="4" fontId="0" fillId="3" borderId="0" xfId="0" applyNumberFormat="1" applyFill="1" applyAlignment="1">
      <alignment horizontal="center"/>
    </xf>
    <xf numFmtId="0" fontId="0" fillId="5" borderId="0" xfId="0" applyFill="1"/>
    <xf numFmtId="3" fontId="0" fillId="5" borderId="0" xfId="0" applyNumberFormat="1" applyFill="1"/>
    <xf numFmtId="187" fontId="1" fillId="0" borderId="0" xfId="0" applyNumberFormat="1" applyFont="1"/>
    <xf numFmtId="0" fontId="4" fillId="0" borderId="0" xfId="0" applyFont="1" applyAlignment="1">
      <alignment horizontal="center" shrinkToFi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right"/>
    </xf>
    <xf numFmtId="190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5" xfId="0" applyFont="1" applyBorder="1" applyAlignment="1">
      <alignment horizontal="left" indent="1"/>
    </xf>
    <xf numFmtId="0" fontId="6" fillId="0" borderId="9" xfId="0" applyFont="1" applyBorder="1" applyAlignment="1">
      <alignment horizontal="center"/>
    </xf>
    <xf numFmtId="0" fontId="7" fillId="0" borderId="4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7" fillId="0" borderId="5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1"/>
    </xf>
    <xf numFmtId="0" fontId="4" fillId="0" borderId="0" xfId="0" applyFont="1" applyAlignment="1">
      <alignment vertical="top" wrapText="1"/>
    </xf>
    <xf numFmtId="0" fontId="4" fillId="0" borderId="5" xfId="0" applyFont="1" applyBorder="1" applyAlignment="1">
      <alignment vertical="top" wrapText="1"/>
    </xf>
  </cellXfs>
  <cellStyles count="2">
    <cellStyle name="ปกติ" xfId="0" builtinId="0"/>
    <cellStyle name="ปกติ 2" xfId="1" xr:uid="{74E2AD81-749A-48F0-92F9-F6E3E99A11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5743-07CD-4DAC-AD53-764DF81C917B}">
  <dimension ref="A1:Z67"/>
  <sheetViews>
    <sheetView zoomScale="115" zoomScaleNormal="115" workbookViewId="0">
      <pane xSplit="6" ySplit="2" topLeftCell="G6" activePane="bottomRight" state="frozen"/>
      <selection pane="topRight" activeCell="G1" sqref="G1"/>
      <selection pane="bottomLeft" activeCell="A3" sqref="A3"/>
      <selection pane="bottomRight" activeCell="A15" sqref="A15"/>
    </sheetView>
  </sheetViews>
  <sheetFormatPr defaultRowHeight="21" x14ac:dyDescent="0.35"/>
  <cols>
    <col min="1" max="1" width="8" customWidth="1"/>
    <col min="2" max="2" width="9.875" customWidth="1"/>
    <col min="3" max="3" width="10" customWidth="1"/>
    <col min="4" max="4" width="13.125" customWidth="1"/>
    <col min="5" max="5" width="24" customWidth="1"/>
    <col min="6" max="6" width="23.125" customWidth="1"/>
    <col min="7" max="8" width="14.625" customWidth="1"/>
    <col min="9" max="9" width="10.5" customWidth="1"/>
    <col min="10" max="10" width="12.75" customWidth="1"/>
    <col min="11" max="11" width="14.25" customWidth="1"/>
    <col min="12" max="15" width="11.5" customWidth="1"/>
    <col min="22" max="22" width="11.75" customWidth="1"/>
    <col min="23" max="23" width="12.75" style="54" customWidth="1"/>
  </cols>
  <sheetData>
    <row r="1" spans="1:26" x14ac:dyDescent="0.35">
      <c r="B1" t="s">
        <v>585</v>
      </c>
      <c r="D1" s="10" t="s">
        <v>605</v>
      </c>
      <c r="E1" s="65">
        <v>69013</v>
      </c>
      <c r="F1" t="s">
        <v>606</v>
      </c>
      <c r="W1"/>
      <c r="X1" t="s">
        <v>557</v>
      </c>
    </row>
    <row r="2" spans="1:26" x14ac:dyDescent="0.35">
      <c r="A2" t="s">
        <v>552</v>
      </c>
      <c r="B2" t="s">
        <v>478</v>
      </c>
      <c r="C2" t="s">
        <v>519</v>
      </c>
      <c r="D2" s="10" t="s">
        <v>3</v>
      </c>
      <c r="E2" t="s">
        <v>448</v>
      </c>
      <c r="F2" t="s">
        <v>477</v>
      </c>
      <c r="G2" t="s">
        <v>449</v>
      </c>
      <c r="H2" t="s">
        <v>504</v>
      </c>
      <c r="I2" t="s">
        <v>454</v>
      </c>
      <c r="J2" t="s">
        <v>445</v>
      </c>
      <c r="K2" t="s">
        <v>12</v>
      </c>
      <c r="L2" t="s">
        <v>450</v>
      </c>
      <c r="M2" t="s">
        <v>451</v>
      </c>
      <c r="N2" t="s">
        <v>452</v>
      </c>
      <c r="O2" t="s">
        <v>453</v>
      </c>
      <c r="P2" t="s">
        <v>458</v>
      </c>
      <c r="Q2" t="s">
        <v>456</v>
      </c>
      <c r="R2" t="s">
        <v>455</v>
      </c>
      <c r="S2" t="s">
        <v>457</v>
      </c>
      <c r="T2" t="s">
        <v>511</v>
      </c>
      <c r="U2" t="s">
        <v>512</v>
      </c>
      <c r="V2" t="s">
        <v>520</v>
      </c>
      <c r="W2" t="s">
        <v>564</v>
      </c>
      <c r="X2" t="s">
        <v>565</v>
      </c>
      <c r="Y2" t="s">
        <v>561</v>
      </c>
      <c r="Z2" t="s">
        <v>560</v>
      </c>
    </row>
    <row r="3" spans="1:26" x14ac:dyDescent="0.35">
      <c r="A3">
        <v>69001</v>
      </c>
      <c r="B3" s="54">
        <v>45950</v>
      </c>
      <c r="C3">
        <v>5504</v>
      </c>
      <c r="D3" t="s">
        <v>933</v>
      </c>
      <c r="E3" t="s">
        <v>489</v>
      </c>
      <c r="F3" t="s">
        <v>969</v>
      </c>
      <c r="G3" t="s">
        <v>486</v>
      </c>
      <c r="H3" t="s">
        <v>505</v>
      </c>
      <c r="I3">
        <v>26</v>
      </c>
      <c r="J3" t="s">
        <v>446</v>
      </c>
      <c r="K3" t="s">
        <v>490</v>
      </c>
      <c r="L3" t="s">
        <v>299</v>
      </c>
      <c r="M3" t="s">
        <v>306</v>
      </c>
      <c r="N3" t="s">
        <v>368</v>
      </c>
      <c r="O3" t="s">
        <v>874</v>
      </c>
      <c r="P3">
        <v>600</v>
      </c>
      <c r="Q3">
        <v>500</v>
      </c>
      <c r="R3">
        <v>120</v>
      </c>
      <c r="T3">
        <v>5</v>
      </c>
      <c r="V3">
        <v>320600</v>
      </c>
      <c r="W3" s="54">
        <v>45958</v>
      </c>
      <c r="X3">
        <f t="shared" ref="X3:X66" ca="1" si="0">COUNTIFS(ผู้สมัครรุ่นที่ฝึก,$A3,ผล,$X$1)</f>
        <v>24</v>
      </c>
      <c r="Y3">
        <f t="shared" ref="Y3:Z56" ca="1" si="1">COUNTIFS(ผู้สมัครรุ่นที่ฝึก,$A3,ผล,$X$1,เพศ,Y$2)</f>
        <v>6</v>
      </c>
      <c r="Z3">
        <f t="shared" ca="1" si="1"/>
        <v>18</v>
      </c>
    </row>
    <row r="4" spans="1:26" x14ac:dyDescent="0.35">
      <c r="A4">
        <v>69002</v>
      </c>
      <c r="B4" s="54">
        <v>45971</v>
      </c>
      <c r="C4">
        <v>5539</v>
      </c>
      <c r="D4" t="s">
        <v>933</v>
      </c>
      <c r="E4" t="s">
        <v>997</v>
      </c>
      <c r="F4" t="s">
        <v>998</v>
      </c>
      <c r="G4" t="s">
        <v>486</v>
      </c>
      <c r="H4" t="s">
        <v>999</v>
      </c>
      <c r="I4">
        <v>25</v>
      </c>
      <c r="J4" t="s">
        <v>1000</v>
      </c>
      <c r="K4" t="s">
        <v>1003</v>
      </c>
      <c r="L4" t="s">
        <v>299</v>
      </c>
      <c r="M4" t="s">
        <v>306</v>
      </c>
      <c r="N4" t="s">
        <v>368</v>
      </c>
      <c r="O4" t="s">
        <v>873</v>
      </c>
      <c r="P4">
        <v>600</v>
      </c>
      <c r="Q4">
        <v>500</v>
      </c>
      <c r="R4">
        <v>120</v>
      </c>
      <c r="T4">
        <v>5</v>
      </c>
      <c r="V4">
        <v>324349</v>
      </c>
      <c r="W4" s="54">
        <v>45985</v>
      </c>
      <c r="X4">
        <f t="shared" ca="1" si="0"/>
        <v>25</v>
      </c>
      <c r="Y4">
        <f t="shared" ca="1" si="1"/>
        <v>11</v>
      </c>
      <c r="Z4">
        <f t="shared" ca="1" si="1"/>
        <v>14</v>
      </c>
    </row>
    <row r="5" spans="1:26" x14ac:dyDescent="0.35">
      <c r="A5">
        <v>69003</v>
      </c>
      <c r="B5" s="54">
        <v>45972</v>
      </c>
      <c r="C5">
        <v>5549</v>
      </c>
      <c r="D5" t="s">
        <v>951</v>
      </c>
      <c r="E5" t="s">
        <v>1006</v>
      </c>
      <c r="F5" t="s">
        <v>1008</v>
      </c>
      <c r="G5" t="s">
        <v>486</v>
      </c>
      <c r="H5" t="s">
        <v>853</v>
      </c>
      <c r="I5">
        <v>31</v>
      </c>
      <c r="J5" t="s">
        <v>1009</v>
      </c>
      <c r="K5" t="s">
        <v>680</v>
      </c>
      <c r="L5" t="s">
        <v>299</v>
      </c>
      <c r="M5" t="s">
        <v>306</v>
      </c>
      <c r="N5" t="s">
        <v>368</v>
      </c>
      <c r="O5" t="s">
        <v>874</v>
      </c>
      <c r="P5">
        <v>500</v>
      </c>
      <c r="Q5">
        <v>500</v>
      </c>
      <c r="R5">
        <v>120</v>
      </c>
      <c r="T5">
        <v>5</v>
      </c>
      <c r="V5">
        <v>324595</v>
      </c>
      <c r="W5" s="54">
        <v>45979</v>
      </c>
      <c r="X5">
        <f t="shared" ca="1" si="0"/>
        <v>31</v>
      </c>
      <c r="Y5">
        <f t="shared" ca="1" si="1"/>
        <v>3</v>
      </c>
      <c r="Z5">
        <f t="shared" ca="1" si="1"/>
        <v>28</v>
      </c>
    </row>
    <row r="6" spans="1:26" x14ac:dyDescent="0.35">
      <c r="A6">
        <v>69004</v>
      </c>
      <c r="B6" s="54">
        <v>45964</v>
      </c>
      <c r="C6">
        <v>5528</v>
      </c>
      <c r="D6" t="s">
        <v>929</v>
      </c>
      <c r="E6" t="s">
        <v>1010</v>
      </c>
      <c r="F6" t="s">
        <v>1011</v>
      </c>
      <c r="G6" t="s">
        <v>486</v>
      </c>
      <c r="H6" t="s">
        <v>505</v>
      </c>
      <c r="I6">
        <v>21</v>
      </c>
      <c r="J6" t="s">
        <v>446</v>
      </c>
      <c r="K6" t="s">
        <v>1013</v>
      </c>
      <c r="L6" t="s">
        <v>299</v>
      </c>
      <c r="M6" t="s">
        <v>306</v>
      </c>
      <c r="N6" t="s">
        <v>368</v>
      </c>
      <c r="O6" t="s">
        <v>873</v>
      </c>
      <c r="Q6">
        <v>500</v>
      </c>
      <c r="V6">
        <v>324829</v>
      </c>
      <c r="W6" s="54">
        <v>45979</v>
      </c>
      <c r="X6">
        <f t="shared" ca="1" si="0"/>
        <v>19</v>
      </c>
      <c r="Y6">
        <f t="shared" ca="1" si="1"/>
        <v>19</v>
      </c>
      <c r="Z6">
        <f t="shared" ca="1" si="1"/>
        <v>0</v>
      </c>
    </row>
    <row r="7" spans="1:26" x14ac:dyDescent="0.35">
      <c r="A7">
        <v>69005</v>
      </c>
      <c r="B7" s="54">
        <v>45992</v>
      </c>
      <c r="D7" t="s">
        <v>958</v>
      </c>
      <c r="E7" t="s">
        <v>782</v>
      </c>
      <c r="F7" t="s">
        <v>1171</v>
      </c>
      <c r="G7" t="s">
        <v>566</v>
      </c>
      <c r="H7" t="s">
        <v>505</v>
      </c>
      <c r="I7">
        <v>30</v>
      </c>
      <c r="J7" t="s">
        <v>446</v>
      </c>
      <c r="K7" t="s">
        <v>810</v>
      </c>
      <c r="L7" t="s">
        <v>299</v>
      </c>
      <c r="M7" t="s">
        <v>306</v>
      </c>
      <c r="N7" t="s">
        <v>368</v>
      </c>
      <c r="O7" t="s">
        <v>873</v>
      </c>
      <c r="X7">
        <f t="shared" ca="1" si="0"/>
        <v>0</v>
      </c>
      <c r="Y7">
        <f t="shared" ca="1" si="1"/>
        <v>0</v>
      </c>
      <c r="Z7">
        <f t="shared" ca="1" si="1"/>
        <v>0</v>
      </c>
    </row>
    <row r="8" spans="1:26" x14ac:dyDescent="0.35">
      <c r="A8">
        <v>69006</v>
      </c>
      <c r="B8" s="54">
        <v>45992</v>
      </c>
      <c r="C8">
        <v>5584</v>
      </c>
      <c r="D8" t="s">
        <v>526</v>
      </c>
      <c r="E8" t="s">
        <v>784</v>
      </c>
      <c r="F8" t="s">
        <v>1172</v>
      </c>
      <c r="G8" t="s">
        <v>704</v>
      </c>
      <c r="H8" t="s">
        <v>626</v>
      </c>
      <c r="I8">
        <v>21</v>
      </c>
      <c r="J8" t="s">
        <v>446</v>
      </c>
      <c r="K8" t="s">
        <v>816</v>
      </c>
      <c r="L8" t="s">
        <v>299</v>
      </c>
      <c r="M8" t="s">
        <v>306</v>
      </c>
      <c r="N8" t="s">
        <v>368</v>
      </c>
      <c r="O8" t="s">
        <v>873</v>
      </c>
      <c r="P8">
        <v>800</v>
      </c>
      <c r="Q8">
        <v>500</v>
      </c>
      <c r="R8">
        <v>120</v>
      </c>
      <c r="T8">
        <v>4</v>
      </c>
      <c r="V8">
        <v>324359</v>
      </c>
      <c r="W8" s="54">
        <v>46008</v>
      </c>
      <c r="X8">
        <f t="shared" ca="1" si="0"/>
        <v>15</v>
      </c>
      <c r="Y8">
        <f t="shared" ca="1" si="1"/>
        <v>11</v>
      </c>
      <c r="Z8">
        <f t="shared" ca="1" si="1"/>
        <v>4</v>
      </c>
    </row>
    <row r="9" spans="1:26" x14ac:dyDescent="0.35">
      <c r="A9">
        <v>69007</v>
      </c>
      <c r="B9" s="54">
        <v>45993</v>
      </c>
      <c r="C9">
        <v>5596</v>
      </c>
      <c r="D9" t="s">
        <v>945</v>
      </c>
      <c r="E9" t="s">
        <v>1173</v>
      </c>
      <c r="F9" t="s">
        <v>1174</v>
      </c>
      <c r="G9" t="s">
        <v>486</v>
      </c>
      <c r="H9" t="s">
        <v>853</v>
      </c>
      <c r="I9">
        <v>20</v>
      </c>
      <c r="J9" t="s">
        <v>1175</v>
      </c>
      <c r="K9" t="s">
        <v>1013</v>
      </c>
      <c r="L9" t="s">
        <v>299</v>
      </c>
      <c r="M9" t="s">
        <v>306</v>
      </c>
      <c r="N9" t="s">
        <v>368</v>
      </c>
      <c r="O9" t="s">
        <v>874</v>
      </c>
      <c r="P9">
        <v>600</v>
      </c>
      <c r="Q9">
        <v>500</v>
      </c>
      <c r="R9">
        <v>120</v>
      </c>
      <c r="T9">
        <v>5</v>
      </c>
      <c r="V9">
        <v>326199</v>
      </c>
      <c r="W9" s="54">
        <v>46002</v>
      </c>
      <c r="X9">
        <f t="shared" ca="1" si="0"/>
        <v>19</v>
      </c>
      <c r="Y9">
        <f t="shared" ca="1" si="1"/>
        <v>18</v>
      </c>
      <c r="Z9">
        <f t="shared" ca="1" si="1"/>
        <v>1</v>
      </c>
    </row>
    <row r="10" spans="1:26" x14ac:dyDescent="0.35">
      <c r="A10">
        <v>69008</v>
      </c>
      <c r="B10" s="54">
        <v>46002</v>
      </c>
      <c r="C10">
        <v>5630</v>
      </c>
      <c r="D10" t="s">
        <v>945</v>
      </c>
      <c r="E10" t="s">
        <v>1173</v>
      </c>
      <c r="F10" t="s">
        <v>1176</v>
      </c>
      <c r="G10" t="s">
        <v>486</v>
      </c>
      <c r="H10" t="s">
        <v>853</v>
      </c>
      <c r="I10">
        <v>20</v>
      </c>
      <c r="J10" t="s">
        <v>446</v>
      </c>
      <c r="K10" t="s">
        <v>832</v>
      </c>
      <c r="L10" t="s">
        <v>299</v>
      </c>
      <c r="M10" t="s">
        <v>306</v>
      </c>
      <c r="N10" t="s">
        <v>368</v>
      </c>
      <c r="P10">
        <v>600</v>
      </c>
      <c r="Q10">
        <v>500</v>
      </c>
      <c r="R10">
        <v>120</v>
      </c>
      <c r="T10">
        <v>5</v>
      </c>
      <c r="V10">
        <v>326195</v>
      </c>
      <c r="W10" s="54">
        <v>46013</v>
      </c>
      <c r="X10">
        <f t="shared" ca="1" si="0"/>
        <v>19</v>
      </c>
      <c r="Y10">
        <f t="shared" ca="1" si="1"/>
        <v>19</v>
      </c>
      <c r="Z10">
        <f t="shared" ca="1" si="1"/>
        <v>0</v>
      </c>
    </row>
    <row r="11" spans="1:26" x14ac:dyDescent="0.35">
      <c r="A11">
        <v>69009</v>
      </c>
      <c r="B11" s="54">
        <v>46031</v>
      </c>
      <c r="C11">
        <v>20</v>
      </c>
      <c r="D11" t="s">
        <v>526</v>
      </c>
      <c r="E11" t="s">
        <v>1303</v>
      </c>
      <c r="F11" t="s">
        <v>1304</v>
      </c>
      <c r="G11" t="s">
        <v>704</v>
      </c>
      <c r="H11" t="s">
        <v>626</v>
      </c>
      <c r="I11">
        <v>23</v>
      </c>
      <c r="J11" t="s">
        <v>446</v>
      </c>
      <c r="K11" t="s">
        <v>128</v>
      </c>
      <c r="L11" t="s">
        <v>306</v>
      </c>
      <c r="M11" t="s">
        <v>368</v>
      </c>
      <c r="N11" t="s">
        <v>873</v>
      </c>
      <c r="P11">
        <v>600</v>
      </c>
      <c r="Q11">
        <v>500</v>
      </c>
      <c r="R11">
        <v>120</v>
      </c>
      <c r="T11">
        <v>4</v>
      </c>
      <c r="V11">
        <v>328049</v>
      </c>
      <c r="W11" s="54">
        <v>46052</v>
      </c>
      <c r="X11">
        <f t="shared" ca="1" si="0"/>
        <v>23</v>
      </c>
      <c r="Y11">
        <f t="shared" ca="1" si="1"/>
        <v>20</v>
      </c>
      <c r="Z11">
        <f t="shared" ca="1" si="1"/>
        <v>3</v>
      </c>
    </row>
    <row r="12" spans="1:26" x14ac:dyDescent="0.35">
      <c r="A12">
        <v>69010</v>
      </c>
      <c r="B12" s="54">
        <v>46029</v>
      </c>
      <c r="C12">
        <v>11</v>
      </c>
      <c r="D12" t="s">
        <v>639</v>
      </c>
      <c r="E12" t="s">
        <v>1350</v>
      </c>
      <c r="F12" t="s">
        <v>1359</v>
      </c>
      <c r="G12" t="s">
        <v>704</v>
      </c>
      <c r="H12" t="s">
        <v>1355</v>
      </c>
      <c r="I12">
        <v>20</v>
      </c>
      <c r="J12" t="s">
        <v>1356</v>
      </c>
      <c r="K12" t="s">
        <v>1352</v>
      </c>
      <c r="L12" t="s">
        <v>306</v>
      </c>
      <c r="M12" t="s">
        <v>368</v>
      </c>
      <c r="N12" t="s">
        <v>874</v>
      </c>
      <c r="O12" t="s">
        <v>873</v>
      </c>
      <c r="V12">
        <v>329759</v>
      </c>
      <c r="W12" s="54">
        <v>46048</v>
      </c>
      <c r="X12">
        <f t="shared" ref="X12:X17" ca="1" si="2">COUNTIFS(ผู้สมัครรุ่นที่ฝึก,$A12,ผล,$X$1)</f>
        <v>0</v>
      </c>
      <c r="Y12">
        <f t="shared" ref="Y12:Z17" ca="1" si="3">COUNTIFS(ผู้สมัครรุ่นที่ฝึก,$A12,ผล,$X$1,เพศ,Y$2)</f>
        <v>0</v>
      </c>
      <c r="Z12">
        <f t="shared" ca="1" si="3"/>
        <v>0</v>
      </c>
    </row>
    <row r="13" spans="1:26" x14ac:dyDescent="0.35">
      <c r="A13">
        <v>69011</v>
      </c>
      <c r="B13" s="54">
        <v>46029</v>
      </c>
      <c r="C13">
        <v>11</v>
      </c>
      <c r="D13" t="s">
        <v>639</v>
      </c>
      <c r="E13" t="s">
        <v>1351</v>
      </c>
      <c r="F13" t="s">
        <v>1359</v>
      </c>
      <c r="G13" t="s">
        <v>704</v>
      </c>
      <c r="H13" t="s">
        <v>1355</v>
      </c>
      <c r="I13">
        <v>20</v>
      </c>
      <c r="J13" t="s">
        <v>1356</v>
      </c>
      <c r="K13" t="s">
        <v>1353</v>
      </c>
      <c r="L13" t="s">
        <v>306</v>
      </c>
      <c r="M13" t="s">
        <v>368</v>
      </c>
      <c r="N13" t="s">
        <v>874</v>
      </c>
      <c r="O13" t="s">
        <v>873</v>
      </c>
      <c r="V13">
        <v>329758</v>
      </c>
      <c r="W13" s="54">
        <v>46048</v>
      </c>
      <c r="X13">
        <f t="shared" ca="1" si="2"/>
        <v>0</v>
      </c>
      <c r="Y13">
        <f t="shared" ca="1" si="3"/>
        <v>0</v>
      </c>
      <c r="Z13">
        <f t="shared" ca="1" si="3"/>
        <v>0</v>
      </c>
    </row>
    <row r="14" spans="1:26" x14ac:dyDescent="0.35">
      <c r="A14">
        <v>69012</v>
      </c>
      <c r="B14" s="54">
        <v>46041</v>
      </c>
      <c r="D14" t="s">
        <v>925</v>
      </c>
      <c r="E14" t="s">
        <v>786</v>
      </c>
      <c r="F14" t="s">
        <v>1360</v>
      </c>
      <c r="G14" t="s">
        <v>704</v>
      </c>
      <c r="H14" t="s">
        <v>999</v>
      </c>
      <c r="I14">
        <v>20</v>
      </c>
      <c r="J14" t="s">
        <v>1358</v>
      </c>
      <c r="K14" t="s">
        <v>806</v>
      </c>
      <c r="L14" t="s">
        <v>306</v>
      </c>
      <c r="M14" t="s">
        <v>368</v>
      </c>
      <c r="N14" t="s">
        <v>873</v>
      </c>
      <c r="W14" s="54">
        <v>46073</v>
      </c>
      <c r="X14">
        <f t="shared" ca="1" si="2"/>
        <v>0</v>
      </c>
      <c r="Y14">
        <f t="shared" ca="1" si="3"/>
        <v>0</v>
      </c>
      <c r="Z14">
        <f t="shared" ca="1" si="3"/>
        <v>0</v>
      </c>
    </row>
    <row r="15" spans="1:26" x14ac:dyDescent="0.35">
      <c r="A15">
        <v>69013</v>
      </c>
      <c r="B15" s="54">
        <v>46051</v>
      </c>
      <c r="C15">
        <v>82</v>
      </c>
      <c r="D15" t="s">
        <v>526</v>
      </c>
      <c r="E15" t="s">
        <v>1303</v>
      </c>
      <c r="F15" t="s">
        <v>1361</v>
      </c>
      <c r="G15" t="s">
        <v>704</v>
      </c>
      <c r="H15" t="s">
        <v>626</v>
      </c>
      <c r="I15">
        <v>24</v>
      </c>
      <c r="J15" t="s">
        <v>446</v>
      </c>
      <c r="K15" t="s">
        <v>128</v>
      </c>
      <c r="L15" t="s">
        <v>306</v>
      </c>
      <c r="M15" t="s">
        <v>368</v>
      </c>
      <c r="N15" t="s">
        <v>873</v>
      </c>
      <c r="P15">
        <v>600</v>
      </c>
      <c r="Q15">
        <v>500</v>
      </c>
      <c r="R15">
        <v>120</v>
      </c>
      <c r="T15">
        <v>4</v>
      </c>
      <c r="W15" s="54">
        <v>46066</v>
      </c>
      <c r="X15">
        <f t="shared" ca="1" si="2"/>
        <v>0</v>
      </c>
      <c r="Y15">
        <f t="shared" ca="1" si="3"/>
        <v>0</v>
      </c>
      <c r="Z15">
        <f t="shared" ca="1" si="3"/>
        <v>0</v>
      </c>
    </row>
    <row r="16" spans="1:26" x14ac:dyDescent="0.35">
      <c r="B16" s="54"/>
      <c r="G16" t="s">
        <v>486</v>
      </c>
      <c r="L16" t="s">
        <v>306</v>
      </c>
      <c r="M16" t="s">
        <v>368</v>
      </c>
      <c r="N16" t="s">
        <v>873</v>
      </c>
      <c r="X16">
        <f t="shared" ca="1" si="2"/>
        <v>0</v>
      </c>
      <c r="Y16">
        <f t="shared" ca="1" si="3"/>
        <v>0</v>
      </c>
      <c r="Z16">
        <f t="shared" ca="1" si="3"/>
        <v>0</v>
      </c>
    </row>
    <row r="17" spans="2:26" x14ac:dyDescent="0.35">
      <c r="B17" s="54"/>
      <c r="G17" t="s">
        <v>486</v>
      </c>
      <c r="L17" t="s">
        <v>306</v>
      </c>
      <c r="M17" t="s">
        <v>368</v>
      </c>
      <c r="N17" t="s">
        <v>873</v>
      </c>
      <c r="X17">
        <f t="shared" ca="1" si="2"/>
        <v>0</v>
      </c>
      <c r="Y17">
        <f t="shared" ca="1" si="3"/>
        <v>0</v>
      </c>
      <c r="Z17">
        <f t="shared" ca="1" si="3"/>
        <v>0</v>
      </c>
    </row>
    <row r="18" spans="2:26" x14ac:dyDescent="0.35">
      <c r="B18" s="54"/>
      <c r="G18" t="s">
        <v>486</v>
      </c>
      <c r="X18">
        <f t="shared" ca="1" si="0"/>
        <v>0</v>
      </c>
      <c r="Y18">
        <f t="shared" ca="1" si="1"/>
        <v>0</v>
      </c>
      <c r="Z18">
        <f t="shared" ca="1" si="1"/>
        <v>0</v>
      </c>
    </row>
    <row r="19" spans="2:26" x14ac:dyDescent="0.35">
      <c r="B19" s="54"/>
      <c r="G19" t="s">
        <v>486</v>
      </c>
      <c r="X19">
        <f ca="1">COUNTIFS(ผู้สมัครรุ่นที่ฝึก,$A19,ผล,$X$1)</f>
        <v>0</v>
      </c>
      <c r="Y19">
        <f ca="1">COUNTIFS(ผู้สมัครรุ่นที่ฝึก,$A19,ผล,$X$1,เพศ,Y$2)</f>
        <v>0</v>
      </c>
      <c r="Z19">
        <f ca="1">COUNTIFS(ผู้สมัครรุ่นที่ฝึก,$A19,ผล,$X$1,เพศ,Z$2)</f>
        <v>0</v>
      </c>
    </row>
    <row r="20" spans="2:26" x14ac:dyDescent="0.35">
      <c r="B20" s="54"/>
      <c r="G20" t="s">
        <v>486</v>
      </c>
      <c r="X20">
        <f ca="1">COUNTIFS(ผู้สมัครรุ่นที่ฝึก,$A20,ผล,$X$1)</f>
        <v>0</v>
      </c>
      <c r="Y20">
        <f t="shared" ref="Y20:Z23" ca="1" si="4">COUNTIFS(ผู้สมัครรุ่นที่ฝึก,$A20,ผล,$X$1,เพศ,Y$2)</f>
        <v>0</v>
      </c>
      <c r="Z20">
        <f t="shared" ca="1" si="4"/>
        <v>0</v>
      </c>
    </row>
    <row r="21" spans="2:26" x14ac:dyDescent="0.35">
      <c r="B21" s="54"/>
      <c r="G21" t="s">
        <v>486</v>
      </c>
      <c r="X21">
        <f ca="1">COUNTIFS(ผู้สมัครรุ่นที่ฝึก,$A21,ผล,$X$1)</f>
        <v>0</v>
      </c>
      <c r="Y21">
        <f t="shared" ca="1" si="4"/>
        <v>0</v>
      </c>
      <c r="Z21">
        <f t="shared" ca="1" si="4"/>
        <v>0</v>
      </c>
    </row>
    <row r="22" spans="2:26" x14ac:dyDescent="0.35">
      <c r="B22" s="54"/>
      <c r="G22" t="s">
        <v>486</v>
      </c>
      <c r="X22">
        <f ca="1">COUNTIFS(ผู้สมัครรุ่นที่ฝึก,$A22,ผล,$X$1)</f>
        <v>0</v>
      </c>
      <c r="Y22">
        <f t="shared" ca="1" si="4"/>
        <v>0</v>
      </c>
      <c r="Z22">
        <f t="shared" ca="1" si="4"/>
        <v>0</v>
      </c>
    </row>
    <row r="23" spans="2:26" x14ac:dyDescent="0.35">
      <c r="B23" s="54"/>
      <c r="G23" t="s">
        <v>486</v>
      </c>
      <c r="X23">
        <f ca="1">COUNTIFS(ผู้สมัครรุ่นที่ฝึก,$A23,ผล,$X$1)</f>
        <v>0</v>
      </c>
      <c r="Y23">
        <f t="shared" ca="1" si="4"/>
        <v>0</v>
      </c>
      <c r="Z23">
        <f t="shared" ca="1" si="4"/>
        <v>0</v>
      </c>
    </row>
    <row r="24" spans="2:26" x14ac:dyDescent="0.35">
      <c r="B24" s="54"/>
      <c r="G24" t="s">
        <v>486</v>
      </c>
      <c r="X24">
        <f t="shared" ca="1" si="0"/>
        <v>0</v>
      </c>
      <c r="Y24">
        <f t="shared" ca="1" si="1"/>
        <v>0</v>
      </c>
      <c r="Z24">
        <f t="shared" ca="1" si="1"/>
        <v>0</v>
      </c>
    </row>
    <row r="25" spans="2:26" x14ac:dyDescent="0.35">
      <c r="B25" s="54"/>
      <c r="G25" t="s">
        <v>486</v>
      </c>
      <c r="X25">
        <f t="shared" ca="1" si="0"/>
        <v>0</v>
      </c>
      <c r="Y25">
        <f t="shared" ca="1" si="1"/>
        <v>0</v>
      </c>
      <c r="Z25">
        <f t="shared" ca="1" si="1"/>
        <v>0</v>
      </c>
    </row>
    <row r="26" spans="2:26" x14ac:dyDescent="0.35">
      <c r="B26" s="54"/>
      <c r="F26" s="67"/>
      <c r="G26" t="s">
        <v>641</v>
      </c>
      <c r="X26">
        <f t="shared" ca="1" si="0"/>
        <v>0</v>
      </c>
      <c r="Y26">
        <f t="shared" ca="1" si="1"/>
        <v>0</v>
      </c>
      <c r="Z26">
        <f t="shared" ca="1" si="1"/>
        <v>0</v>
      </c>
    </row>
    <row r="27" spans="2:26" x14ac:dyDescent="0.35">
      <c r="B27" s="54"/>
      <c r="G27" t="s">
        <v>704</v>
      </c>
      <c r="X27">
        <f t="shared" ca="1" si="0"/>
        <v>0</v>
      </c>
      <c r="Y27">
        <f t="shared" ca="1" si="1"/>
        <v>0</v>
      </c>
      <c r="Z27">
        <f t="shared" ca="1" si="1"/>
        <v>0</v>
      </c>
    </row>
    <row r="28" spans="2:26" x14ac:dyDescent="0.35">
      <c r="B28" s="54"/>
      <c r="G28" t="s">
        <v>704</v>
      </c>
      <c r="X28">
        <f t="shared" ca="1" si="0"/>
        <v>0</v>
      </c>
      <c r="Y28">
        <f t="shared" ca="1" si="1"/>
        <v>0</v>
      </c>
      <c r="Z28">
        <f t="shared" ca="1" si="1"/>
        <v>0</v>
      </c>
    </row>
    <row r="29" spans="2:26" x14ac:dyDescent="0.35">
      <c r="B29" s="54"/>
      <c r="G29" t="s">
        <v>704</v>
      </c>
      <c r="X29">
        <f t="shared" ca="1" si="0"/>
        <v>0</v>
      </c>
      <c r="Y29">
        <f t="shared" ca="1" si="1"/>
        <v>0</v>
      </c>
      <c r="Z29">
        <f t="shared" ca="1" si="1"/>
        <v>0</v>
      </c>
    </row>
    <row r="30" spans="2:26" x14ac:dyDescent="0.35">
      <c r="B30" s="54"/>
      <c r="G30" t="s">
        <v>714</v>
      </c>
      <c r="X30">
        <f t="shared" ca="1" si="0"/>
        <v>0</v>
      </c>
      <c r="Y30">
        <f t="shared" ca="1" si="1"/>
        <v>0</v>
      </c>
      <c r="Z30">
        <f t="shared" ca="1" si="1"/>
        <v>0</v>
      </c>
    </row>
    <row r="31" spans="2:26" x14ac:dyDescent="0.35">
      <c r="B31" s="54"/>
      <c r="G31" t="s">
        <v>486</v>
      </c>
      <c r="X31">
        <f t="shared" ca="1" si="0"/>
        <v>0</v>
      </c>
      <c r="Y31">
        <f t="shared" ca="1" si="1"/>
        <v>0</v>
      </c>
      <c r="Z31">
        <f t="shared" ca="1" si="1"/>
        <v>0</v>
      </c>
    </row>
    <row r="32" spans="2:26" x14ac:dyDescent="0.35">
      <c r="B32" s="54"/>
      <c r="G32" t="s">
        <v>486</v>
      </c>
      <c r="X32">
        <f t="shared" ca="1" si="0"/>
        <v>0</v>
      </c>
      <c r="Y32">
        <f t="shared" ca="1" si="1"/>
        <v>0</v>
      </c>
      <c r="Z32">
        <f t="shared" ca="1" si="1"/>
        <v>0</v>
      </c>
    </row>
    <row r="33" spans="2:26" x14ac:dyDescent="0.35">
      <c r="B33" s="54"/>
      <c r="G33" t="s">
        <v>486</v>
      </c>
      <c r="X33">
        <f t="shared" ca="1" si="0"/>
        <v>0</v>
      </c>
      <c r="Y33">
        <f t="shared" ca="1" si="1"/>
        <v>0</v>
      </c>
      <c r="Z33">
        <f t="shared" ca="1" si="1"/>
        <v>0</v>
      </c>
    </row>
    <row r="34" spans="2:26" x14ac:dyDescent="0.35">
      <c r="B34" s="54"/>
      <c r="G34" t="s">
        <v>486</v>
      </c>
      <c r="X34">
        <f t="shared" ca="1" si="0"/>
        <v>0</v>
      </c>
      <c r="Y34">
        <f t="shared" ca="1" si="1"/>
        <v>0</v>
      </c>
      <c r="Z34">
        <f t="shared" ca="1" si="1"/>
        <v>0</v>
      </c>
    </row>
    <row r="35" spans="2:26" x14ac:dyDescent="0.35">
      <c r="B35" s="54"/>
      <c r="G35" t="s">
        <v>486</v>
      </c>
      <c r="X35">
        <f t="shared" ca="1" si="0"/>
        <v>0</v>
      </c>
      <c r="Y35">
        <f t="shared" ca="1" si="1"/>
        <v>0</v>
      </c>
      <c r="Z35">
        <f t="shared" ca="1" si="1"/>
        <v>0</v>
      </c>
    </row>
    <row r="36" spans="2:26" x14ac:dyDescent="0.35">
      <c r="B36" s="54"/>
      <c r="G36" t="s">
        <v>486</v>
      </c>
      <c r="X36">
        <f t="shared" ca="1" si="0"/>
        <v>0</v>
      </c>
      <c r="Y36">
        <f t="shared" ca="1" si="1"/>
        <v>0</v>
      </c>
      <c r="Z36">
        <f t="shared" ca="1" si="1"/>
        <v>0</v>
      </c>
    </row>
    <row r="37" spans="2:26" x14ac:dyDescent="0.35">
      <c r="B37" s="54"/>
      <c r="G37" t="s">
        <v>486</v>
      </c>
      <c r="X37">
        <f t="shared" ca="1" si="0"/>
        <v>0</v>
      </c>
      <c r="Y37">
        <f t="shared" ca="1" si="1"/>
        <v>0</v>
      </c>
      <c r="Z37">
        <f t="shared" ca="1" si="1"/>
        <v>0</v>
      </c>
    </row>
    <row r="38" spans="2:26" x14ac:dyDescent="0.35">
      <c r="B38" s="54"/>
      <c r="G38" t="s">
        <v>486</v>
      </c>
      <c r="X38">
        <f t="shared" ca="1" si="0"/>
        <v>0</v>
      </c>
      <c r="Y38">
        <f t="shared" ca="1" si="1"/>
        <v>0</v>
      </c>
      <c r="Z38">
        <f t="shared" ca="1" si="1"/>
        <v>0</v>
      </c>
    </row>
    <row r="39" spans="2:26" x14ac:dyDescent="0.35">
      <c r="B39" s="54"/>
      <c r="G39" t="s">
        <v>486</v>
      </c>
      <c r="X39">
        <f t="shared" ca="1" si="0"/>
        <v>0</v>
      </c>
      <c r="Y39">
        <f t="shared" ca="1" si="1"/>
        <v>0</v>
      </c>
      <c r="Z39">
        <f t="shared" ca="1" si="1"/>
        <v>0</v>
      </c>
    </row>
    <row r="40" spans="2:26" x14ac:dyDescent="0.35">
      <c r="B40" s="54"/>
      <c r="G40" t="s">
        <v>704</v>
      </c>
      <c r="X40">
        <f t="shared" ca="1" si="0"/>
        <v>0</v>
      </c>
      <c r="Y40">
        <f t="shared" ca="1" si="1"/>
        <v>0</v>
      </c>
      <c r="Z40">
        <f t="shared" ca="1" si="1"/>
        <v>0</v>
      </c>
    </row>
    <row r="41" spans="2:26" x14ac:dyDescent="0.35">
      <c r="B41" s="54"/>
      <c r="G41" t="s">
        <v>486</v>
      </c>
      <c r="X41">
        <f t="shared" ca="1" si="0"/>
        <v>0</v>
      </c>
      <c r="Y41">
        <f t="shared" ca="1" si="1"/>
        <v>0</v>
      </c>
      <c r="Z41">
        <f t="shared" ca="1" si="1"/>
        <v>0</v>
      </c>
    </row>
    <row r="42" spans="2:26" x14ac:dyDescent="0.35">
      <c r="B42" s="54"/>
      <c r="G42" t="s">
        <v>704</v>
      </c>
      <c r="X42">
        <f t="shared" ca="1" si="0"/>
        <v>0</v>
      </c>
      <c r="Y42">
        <f t="shared" ca="1" si="1"/>
        <v>0</v>
      </c>
      <c r="Z42">
        <f t="shared" ca="1" si="1"/>
        <v>0</v>
      </c>
    </row>
    <row r="43" spans="2:26" x14ac:dyDescent="0.35">
      <c r="B43" s="54"/>
      <c r="G43" t="s">
        <v>704</v>
      </c>
      <c r="X43">
        <f t="shared" ca="1" si="0"/>
        <v>0</v>
      </c>
      <c r="Y43">
        <f t="shared" ca="1" si="1"/>
        <v>0</v>
      </c>
      <c r="Z43">
        <f t="shared" ca="1" si="1"/>
        <v>0</v>
      </c>
    </row>
    <row r="44" spans="2:26" x14ac:dyDescent="0.35">
      <c r="B44" s="54"/>
      <c r="G44" t="s">
        <v>486</v>
      </c>
      <c r="X44">
        <f t="shared" ca="1" si="0"/>
        <v>0</v>
      </c>
      <c r="Y44">
        <f t="shared" ca="1" si="1"/>
        <v>0</v>
      </c>
      <c r="Z44">
        <f t="shared" ca="1" si="1"/>
        <v>0</v>
      </c>
    </row>
    <row r="45" spans="2:26" x14ac:dyDescent="0.35">
      <c r="B45" s="54"/>
      <c r="G45" t="s">
        <v>704</v>
      </c>
      <c r="X45">
        <f t="shared" ca="1" si="0"/>
        <v>0</v>
      </c>
      <c r="Y45">
        <f t="shared" ca="1" si="1"/>
        <v>0</v>
      </c>
      <c r="Z45">
        <f t="shared" ca="1" si="1"/>
        <v>0</v>
      </c>
    </row>
    <row r="46" spans="2:26" x14ac:dyDescent="0.35">
      <c r="B46" s="54"/>
      <c r="G46" t="s">
        <v>704</v>
      </c>
      <c r="X46">
        <f t="shared" ca="1" si="0"/>
        <v>0</v>
      </c>
      <c r="Y46">
        <f t="shared" ca="1" si="1"/>
        <v>0</v>
      </c>
      <c r="Z46">
        <f t="shared" ca="1" si="1"/>
        <v>0</v>
      </c>
    </row>
    <row r="47" spans="2:26" x14ac:dyDescent="0.35">
      <c r="B47" s="54"/>
      <c r="G47" t="s">
        <v>486</v>
      </c>
      <c r="X47">
        <f t="shared" ca="1" si="0"/>
        <v>0</v>
      </c>
      <c r="Y47">
        <f t="shared" ca="1" si="1"/>
        <v>0</v>
      </c>
      <c r="Z47">
        <f t="shared" ca="1" si="1"/>
        <v>0</v>
      </c>
    </row>
    <row r="48" spans="2:26" x14ac:dyDescent="0.35">
      <c r="B48" s="54"/>
      <c r="G48" t="s">
        <v>704</v>
      </c>
      <c r="X48">
        <f t="shared" ca="1" si="0"/>
        <v>0</v>
      </c>
      <c r="Y48">
        <f t="shared" ca="1" si="1"/>
        <v>0</v>
      </c>
      <c r="Z48">
        <f t="shared" ca="1" si="1"/>
        <v>0</v>
      </c>
    </row>
    <row r="49" spans="2:26" x14ac:dyDescent="0.35">
      <c r="B49" s="54"/>
      <c r="G49" t="s">
        <v>704</v>
      </c>
      <c r="X49">
        <f t="shared" ca="1" si="0"/>
        <v>0</v>
      </c>
      <c r="Y49">
        <f t="shared" ca="1" si="1"/>
        <v>0</v>
      </c>
      <c r="Z49">
        <f t="shared" ca="1" si="1"/>
        <v>0</v>
      </c>
    </row>
    <row r="50" spans="2:26" x14ac:dyDescent="0.35">
      <c r="B50" s="54"/>
      <c r="G50" t="s">
        <v>486</v>
      </c>
      <c r="X50">
        <f t="shared" ca="1" si="0"/>
        <v>0</v>
      </c>
      <c r="Y50">
        <f t="shared" ca="1" si="1"/>
        <v>0</v>
      </c>
      <c r="Z50">
        <f t="shared" ca="1" si="1"/>
        <v>0</v>
      </c>
    </row>
    <row r="51" spans="2:26" x14ac:dyDescent="0.35">
      <c r="B51" s="54"/>
      <c r="G51" t="s">
        <v>486</v>
      </c>
      <c r="X51">
        <f t="shared" ca="1" si="0"/>
        <v>0</v>
      </c>
      <c r="Y51">
        <f t="shared" ca="1" si="1"/>
        <v>0</v>
      </c>
      <c r="Z51">
        <f t="shared" ca="1" si="1"/>
        <v>0</v>
      </c>
    </row>
    <row r="52" spans="2:26" x14ac:dyDescent="0.35">
      <c r="B52" s="54"/>
      <c r="G52" t="s">
        <v>486</v>
      </c>
      <c r="X52">
        <f t="shared" ca="1" si="0"/>
        <v>0</v>
      </c>
      <c r="Y52">
        <f t="shared" ca="1" si="1"/>
        <v>0</v>
      </c>
      <c r="Z52">
        <f t="shared" ca="1" si="1"/>
        <v>0</v>
      </c>
    </row>
    <row r="53" spans="2:26" x14ac:dyDescent="0.35">
      <c r="B53" s="54"/>
      <c r="G53" t="s">
        <v>486</v>
      </c>
      <c r="X53">
        <f t="shared" ca="1" si="0"/>
        <v>0</v>
      </c>
      <c r="Y53">
        <f t="shared" ca="1" si="1"/>
        <v>0</v>
      </c>
      <c r="Z53">
        <f t="shared" ca="1" si="1"/>
        <v>0</v>
      </c>
    </row>
    <row r="54" spans="2:26" x14ac:dyDescent="0.35">
      <c r="B54" s="54"/>
      <c r="G54" t="s">
        <v>486</v>
      </c>
      <c r="X54">
        <f t="shared" ca="1" si="0"/>
        <v>0</v>
      </c>
      <c r="Y54">
        <f t="shared" ca="1" si="1"/>
        <v>0</v>
      </c>
      <c r="Z54">
        <f t="shared" ca="1" si="1"/>
        <v>0</v>
      </c>
    </row>
    <row r="55" spans="2:26" x14ac:dyDescent="0.35">
      <c r="B55" s="54"/>
      <c r="G55" t="s">
        <v>486</v>
      </c>
      <c r="X55">
        <f t="shared" ca="1" si="0"/>
        <v>0</v>
      </c>
      <c r="Y55">
        <f t="shared" ca="1" si="1"/>
        <v>0</v>
      </c>
      <c r="Z55">
        <f t="shared" ca="1" si="1"/>
        <v>0</v>
      </c>
    </row>
    <row r="56" spans="2:26" x14ac:dyDescent="0.35">
      <c r="B56" s="54"/>
      <c r="G56" t="s">
        <v>486</v>
      </c>
      <c r="X56">
        <f t="shared" ca="1" si="0"/>
        <v>0</v>
      </c>
      <c r="Y56">
        <f t="shared" ca="1" si="1"/>
        <v>0</v>
      </c>
      <c r="Z56">
        <f t="shared" ca="1" si="1"/>
        <v>0</v>
      </c>
    </row>
    <row r="57" spans="2:26" x14ac:dyDescent="0.35">
      <c r="B57" s="54"/>
      <c r="G57" t="s">
        <v>486</v>
      </c>
      <c r="X57">
        <f t="shared" ref="X57:X65" ca="1" si="5">COUNTIFS(ผู้สมัครรุ่นที่ฝึก,$A57,ผล,$X$1)</f>
        <v>0</v>
      </c>
      <c r="Y57">
        <f t="shared" ref="Y57:Z65" ca="1" si="6">COUNTIFS(ผู้สมัครรุ่นที่ฝึก,$A57,ผล,$X$1,เพศ,Y$2)</f>
        <v>0</v>
      </c>
      <c r="Z57">
        <f t="shared" ca="1" si="6"/>
        <v>0</v>
      </c>
    </row>
    <row r="58" spans="2:26" x14ac:dyDescent="0.35">
      <c r="B58" s="54"/>
      <c r="G58" t="s">
        <v>486</v>
      </c>
      <c r="X58">
        <f t="shared" ca="1" si="5"/>
        <v>0</v>
      </c>
      <c r="Y58">
        <f t="shared" ca="1" si="6"/>
        <v>0</v>
      </c>
      <c r="Z58">
        <f t="shared" ca="1" si="6"/>
        <v>0</v>
      </c>
    </row>
    <row r="59" spans="2:26" x14ac:dyDescent="0.35">
      <c r="B59" s="54"/>
      <c r="G59" t="s">
        <v>704</v>
      </c>
      <c r="X59">
        <f t="shared" ca="1" si="5"/>
        <v>0</v>
      </c>
      <c r="Y59">
        <f t="shared" ca="1" si="6"/>
        <v>0</v>
      </c>
      <c r="Z59">
        <f t="shared" ca="1" si="6"/>
        <v>0</v>
      </c>
    </row>
    <row r="60" spans="2:26" x14ac:dyDescent="0.35">
      <c r="B60" s="54"/>
      <c r="F60" s="67"/>
      <c r="G60" t="s">
        <v>641</v>
      </c>
      <c r="X60">
        <f t="shared" ca="1" si="5"/>
        <v>0</v>
      </c>
      <c r="Y60">
        <f t="shared" ca="1" si="6"/>
        <v>0</v>
      </c>
      <c r="Z60">
        <f t="shared" ca="1" si="6"/>
        <v>0</v>
      </c>
    </row>
    <row r="61" spans="2:26" x14ac:dyDescent="0.35">
      <c r="B61" s="54"/>
      <c r="G61" t="s">
        <v>704</v>
      </c>
      <c r="X61">
        <f t="shared" ca="1" si="5"/>
        <v>0</v>
      </c>
      <c r="Y61">
        <f t="shared" ca="1" si="6"/>
        <v>0</v>
      </c>
      <c r="Z61">
        <f t="shared" ca="1" si="6"/>
        <v>0</v>
      </c>
    </row>
    <row r="62" spans="2:26" x14ac:dyDescent="0.35">
      <c r="B62" s="54"/>
      <c r="G62" t="s">
        <v>704</v>
      </c>
      <c r="X62">
        <f t="shared" ca="1" si="5"/>
        <v>0</v>
      </c>
      <c r="Y62">
        <f t="shared" ca="1" si="6"/>
        <v>0</v>
      </c>
      <c r="Z62">
        <f t="shared" ca="1" si="6"/>
        <v>0</v>
      </c>
    </row>
    <row r="63" spans="2:26" x14ac:dyDescent="0.35">
      <c r="B63" s="54"/>
      <c r="G63" t="s">
        <v>714</v>
      </c>
      <c r="X63">
        <f t="shared" ca="1" si="5"/>
        <v>0</v>
      </c>
      <c r="Y63">
        <f t="shared" ca="1" si="6"/>
        <v>0</v>
      </c>
      <c r="Z63">
        <f t="shared" ca="1" si="6"/>
        <v>0</v>
      </c>
    </row>
    <row r="64" spans="2:26" x14ac:dyDescent="0.35">
      <c r="B64" s="54"/>
      <c r="G64" t="s">
        <v>883</v>
      </c>
      <c r="X64">
        <f t="shared" ca="1" si="5"/>
        <v>0</v>
      </c>
      <c r="Y64">
        <f t="shared" ca="1" si="6"/>
        <v>0</v>
      </c>
      <c r="Z64">
        <f t="shared" ca="1" si="6"/>
        <v>0</v>
      </c>
    </row>
    <row r="65" spans="2:26" x14ac:dyDescent="0.35">
      <c r="B65" s="54"/>
      <c r="X65">
        <f t="shared" ca="1" si="5"/>
        <v>0</v>
      </c>
      <c r="Y65">
        <f t="shared" ca="1" si="6"/>
        <v>0</v>
      </c>
      <c r="Z65">
        <f t="shared" ca="1" si="6"/>
        <v>0</v>
      </c>
    </row>
    <row r="66" spans="2:26" x14ac:dyDescent="0.35">
      <c r="B66" s="54"/>
      <c r="X66">
        <f t="shared" ca="1" si="0"/>
        <v>0</v>
      </c>
      <c r="Y66">
        <f t="shared" ref="Y66:Z66" ca="1" si="7">COUNTIFS(ผู้สมัครรุ่นที่ฝึก,$A66,ผล,$X$1,เพศ,Y$2)</f>
        <v>0</v>
      </c>
      <c r="Z66">
        <f t="shared" ca="1" si="7"/>
        <v>0</v>
      </c>
    </row>
    <row r="67" spans="2:26" s="53" customFormat="1" x14ac:dyDescent="0.35">
      <c r="B67" s="53" t="s">
        <v>485</v>
      </c>
      <c r="W67" s="60"/>
    </row>
  </sheetData>
  <phoneticPr fontId="3" type="noConversion"/>
  <dataValidations count="8">
    <dataValidation type="list" allowBlank="1" showInputMessage="1" showErrorMessage="1" sqref="H67:H70" xr:uid="{7C33A53A-BF4B-497E-8083-1E61670A9062}">
      <formula1>"09.00 - 16.00 น. , 08.30 - 17.00 น."</formula1>
    </dataValidation>
    <dataValidation type="list" allowBlank="1" showInputMessage="1" showErrorMessage="1" sqref="E1" xr:uid="{54885B54-4668-40FB-8296-20A127458999}">
      <formula1>รุ่นที่ฝึก</formula1>
    </dataValidation>
    <dataValidation type="list" allowBlank="1" showInputMessage="1" showErrorMessage="1" sqref="D3:D66" xr:uid="{63CD14EF-13D0-4697-B02D-C26602AA9F89}">
      <formula1>ชื่อกิจกรรม</formula1>
    </dataValidation>
    <dataValidation type="list" allowBlank="1" showInputMessage="1" showErrorMessage="1" sqref="E3:E66" xr:uid="{EF7A40FD-9A47-4A93-BE20-E5DFB063B305}">
      <formula1>ชื่อหลักสูตร</formula1>
    </dataValidation>
    <dataValidation type="list" allowBlank="1" showInputMessage="1" showErrorMessage="1" sqref="J3:J66" xr:uid="{94E08529-F4BF-46F9-9659-FCA10F9B593D}">
      <formula1>ชื่อสถานที่ฝึก</formula1>
    </dataValidation>
    <dataValidation type="list" allowBlank="1" showInputMessage="1" showErrorMessage="1" sqref="K3:K66" xr:uid="{6C7ED94B-6D56-4ECC-8958-5F1FB85BDAA7}">
      <formula1>ชื่อวิทยากร</formula1>
    </dataValidation>
    <dataValidation type="list" allowBlank="1" showInputMessage="1" showErrorMessage="1" sqref="L3:O66" xr:uid="{0D90AFFF-4E3E-42B4-BA6B-7EB666CC30D1}">
      <formula1>ชื่อเจ้าหน้าที่</formula1>
    </dataValidation>
    <dataValidation type="list" allowBlank="1" showInputMessage="1" showErrorMessage="1" sqref="G1:G1048576" xr:uid="{CCD897AD-B787-43B5-90A4-FEF7563B7D65}">
      <formula1>"09.00 - 16.00 น. , 08.30 - 17.00 น. , 08.00 - 17.00 น. , 09.00 - 17.00 น."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810C-7A94-482D-9359-D527674E3707}">
  <dimension ref="A1:G1430"/>
  <sheetViews>
    <sheetView topLeftCell="B1" workbookViewId="0">
      <pane xSplit="1" ySplit="1" topLeftCell="C83" activePane="bottomRight" state="frozen"/>
      <selection activeCell="B1" sqref="B1"/>
      <selection pane="topRight" activeCell="C1" sqref="C1"/>
      <selection pane="bottomLeft" activeCell="B2" sqref="B2"/>
      <selection pane="bottomRight" activeCell="I92" sqref="I92"/>
    </sheetView>
  </sheetViews>
  <sheetFormatPr defaultRowHeight="21" x14ac:dyDescent="0.35"/>
  <cols>
    <col min="1" max="1" width="4.25" customWidth="1"/>
    <col min="3" max="3" width="9.125" customWidth="1"/>
    <col min="4" max="4" width="29.375" customWidth="1"/>
    <col min="5" max="5" width="20.75" customWidth="1"/>
    <col min="6" max="6" width="12.125" customWidth="1"/>
  </cols>
  <sheetData>
    <row r="1" spans="1:7" x14ac:dyDescent="0.35">
      <c r="A1" t="s">
        <v>5</v>
      </c>
      <c r="B1" t="s">
        <v>552</v>
      </c>
      <c r="C1" t="s">
        <v>554</v>
      </c>
      <c r="D1" t="s">
        <v>541</v>
      </c>
      <c r="E1" t="s">
        <v>555</v>
      </c>
      <c r="F1" t="s">
        <v>559</v>
      </c>
      <c r="G1" t="s">
        <v>556</v>
      </c>
    </row>
    <row r="2" spans="1:7" x14ac:dyDescent="0.35">
      <c r="A2">
        <v>1</v>
      </c>
      <c r="B2" s="10">
        <v>69001</v>
      </c>
      <c r="C2">
        <v>1</v>
      </c>
      <c r="D2" t="s">
        <v>884</v>
      </c>
      <c r="E2" t="s">
        <v>885</v>
      </c>
      <c r="F2" t="str">
        <f t="shared" ref="F2:F48" si="0">IF(LEFT(D2,3)="นาย","ชาย",IF(LEFT(D2,3)="นาง","หญิง",""))</f>
        <v>หญิง</v>
      </c>
      <c r="G2" t="s">
        <v>996</v>
      </c>
    </row>
    <row r="3" spans="1:7" x14ac:dyDescent="0.35">
      <c r="A3">
        <v>2</v>
      </c>
      <c r="B3" s="10">
        <v>69001</v>
      </c>
      <c r="C3">
        <v>2</v>
      </c>
      <c r="D3" t="s">
        <v>553</v>
      </c>
      <c r="E3" t="s">
        <v>886</v>
      </c>
      <c r="F3" t="str">
        <f t="shared" si="0"/>
        <v>หญิง</v>
      </c>
      <c r="G3" t="s">
        <v>557</v>
      </c>
    </row>
    <row r="4" spans="1:7" x14ac:dyDescent="0.35">
      <c r="A4">
        <v>3</v>
      </c>
      <c r="B4" s="10">
        <v>69001</v>
      </c>
      <c r="C4">
        <v>3</v>
      </c>
      <c r="D4" t="s">
        <v>887</v>
      </c>
      <c r="E4" t="s">
        <v>888</v>
      </c>
      <c r="F4" t="str">
        <f t="shared" si="0"/>
        <v>หญิง</v>
      </c>
      <c r="G4" t="s">
        <v>557</v>
      </c>
    </row>
    <row r="5" spans="1:7" x14ac:dyDescent="0.35">
      <c r="A5">
        <v>4</v>
      </c>
      <c r="B5" s="10">
        <v>69001</v>
      </c>
      <c r="C5">
        <v>4</v>
      </c>
      <c r="D5" t="s">
        <v>889</v>
      </c>
      <c r="E5" t="s">
        <v>890</v>
      </c>
      <c r="F5" t="str">
        <f t="shared" si="0"/>
        <v>หญิง</v>
      </c>
      <c r="G5" t="s">
        <v>557</v>
      </c>
    </row>
    <row r="6" spans="1:7" x14ac:dyDescent="0.35">
      <c r="A6">
        <v>5</v>
      </c>
      <c r="B6" s="10">
        <v>69001</v>
      </c>
      <c r="C6">
        <v>5</v>
      </c>
      <c r="D6" t="s">
        <v>843</v>
      </c>
      <c r="E6" t="s">
        <v>844</v>
      </c>
      <c r="F6" t="str">
        <f t="shared" si="0"/>
        <v>หญิง</v>
      </c>
      <c r="G6" t="s">
        <v>557</v>
      </c>
    </row>
    <row r="7" spans="1:7" x14ac:dyDescent="0.35">
      <c r="A7">
        <v>6</v>
      </c>
      <c r="B7" s="10">
        <v>69001</v>
      </c>
      <c r="C7">
        <v>6</v>
      </c>
      <c r="D7" t="s">
        <v>891</v>
      </c>
      <c r="E7" t="s">
        <v>892</v>
      </c>
      <c r="F7" t="str">
        <f t="shared" si="0"/>
        <v>หญิง</v>
      </c>
      <c r="G7" t="s">
        <v>557</v>
      </c>
    </row>
    <row r="8" spans="1:7" x14ac:dyDescent="0.35">
      <c r="A8">
        <v>7</v>
      </c>
      <c r="B8" s="10">
        <v>69001</v>
      </c>
      <c r="C8">
        <v>7</v>
      </c>
      <c r="D8" t="s">
        <v>893</v>
      </c>
      <c r="E8" t="s">
        <v>894</v>
      </c>
      <c r="F8" t="str">
        <f t="shared" si="0"/>
        <v>หญิง</v>
      </c>
      <c r="G8" t="s">
        <v>557</v>
      </c>
    </row>
    <row r="9" spans="1:7" x14ac:dyDescent="0.35">
      <c r="A9">
        <v>8</v>
      </c>
      <c r="B9" s="10">
        <v>69001</v>
      </c>
      <c r="C9">
        <v>8</v>
      </c>
      <c r="D9" t="s">
        <v>895</v>
      </c>
      <c r="E9" t="s">
        <v>896</v>
      </c>
      <c r="F9" t="str">
        <f t="shared" si="0"/>
        <v>หญิง</v>
      </c>
      <c r="G9" t="s">
        <v>557</v>
      </c>
    </row>
    <row r="10" spans="1:7" x14ac:dyDescent="0.35">
      <c r="A10">
        <v>9</v>
      </c>
      <c r="B10" s="10">
        <v>69001</v>
      </c>
      <c r="C10">
        <v>9</v>
      </c>
      <c r="D10" t="s">
        <v>897</v>
      </c>
      <c r="E10" t="s">
        <v>898</v>
      </c>
      <c r="F10" t="str">
        <f t="shared" si="0"/>
        <v>ชาย</v>
      </c>
      <c r="G10" t="s">
        <v>557</v>
      </c>
    </row>
    <row r="11" spans="1:7" x14ac:dyDescent="0.35">
      <c r="A11">
        <v>10</v>
      </c>
      <c r="B11" s="10">
        <v>69001</v>
      </c>
      <c r="C11">
        <v>10</v>
      </c>
      <c r="D11" t="s">
        <v>899</v>
      </c>
      <c r="E11" t="s">
        <v>900</v>
      </c>
      <c r="F11" t="str">
        <f t="shared" si="0"/>
        <v>หญิง</v>
      </c>
      <c r="G11" t="s">
        <v>557</v>
      </c>
    </row>
    <row r="12" spans="1:7" x14ac:dyDescent="0.35">
      <c r="A12">
        <v>11</v>
      </c>
      <c r="B12" s="10">
        <v>69001</v>
      </c>
      <c r="C12">
        <v>11</v>
      </c>
      <c r="D12" t="s">
        <v>901</v>
      </c>
      <c r="E12" t="s">
        <v>902</v>
      </c>
      <c r="F12" t="str">
        <f t="shared" si="0"/>
        <v>หญิง</v>
      </c>
      <c r="G12" t="s">
        <v>557</v>
      </c>
    </row>
    <row r="13" spans="1:7" x14ac:dyDescent="0.35">
      <c r="A13">
        <v>12</v>
      </c>
      <c r="B13" s="10">
        <v>69001</v>
      </c>
      <c r="C13">
        <v>12</v>
      </c>
      <c r="D13" t="s">
        <v>903</v>
      </c>
      <c r="E13" t="s">
        <v>904</v>
      </c>
      <c r="F13" t="str">
        <f t="shared" si="0"/>
        <v>หญิง</v>
      </c>
      <c r="G13" t="s">
        <v>557</v>
      </c>
    </row>
    <row r="14" spans="1:7" x14ac:dyDescent="0.35">
      <c r="A14">
        <v>13</v>
      </c>
      <c r="B14" s="10">
        <v>69001</v>
      </c>
      <c r="C14">
        <v>13</v>
      </c>
      <c r="D14" t="s">
        <v>627</v>
      </c>
      <c r="E14" t="s">
        <v>628</v>
      </c>
      <c r="F14" t="str">
        <f t="shared" si="0"/>
        <v>หญิง</v>
      </c>
      <c r="G14" t="s">
        <v>557</v>
      </c>
    </row>
    <row r="15" spans="1:7" x14ac:dyDescent="0.35">
      <c r="A15">
        <v>14</v>
      </c>
      <c r="B15" s="10">
        <v>69001</v>
      </c>
      <c r="C15">
        <v>14</v>
      </c>
      <c r="D15" t="s">
        <v>992</v>
      </c>
      <c r="E15" t="s">
        <v>993</v>
      </c>
      <c r="F15" t="str">
        <f t="shared" si="0"/>
        <v>หญิง</v>
      </c>
      <c r="G15" t="s">
        <v>557</v>
      </c>
    </row>
    <row r="16" spans="1:7" x14ac:dyDescent="0.35">
      <c r="A16">
        <v>15</v>
      </c>
      <c r="B16" s="10">
        <v>69001</v>
      </c>
      <c r="C16">
        <v>15</v>
      </c>
      <c r="D16" t="s">
        <v>994</v>
      </c>
      <c r="E16" t="s">
        <v>995</v>
      </c>
      <c r="F16" t="str">
        <f t="shared" si="0"/>
        <v>หญิง</v>
      </c>
      <c r="G16" t="s">
        <v>557</v>
      </c>
    </row>
    <row r="17" spans="1:7" x14ac:dyDescent="0.35">
      <c r="A17">
        <v>16</v>
      </c>
      <c r="B17" s="10">
        <v>69001</v>
      </c>
      <c r="C17">
        <v>16</v>
      </c>
      <c r="D17" t="s">
        <v>905</v>
      </c>
      <c r="E17" t="s">
        <v>906</v>
      </c>
      <c r="F17" t="str">
        <f t="shared" si="0"/>
        <v>ชาย</v>
      </c>
      <c r="G17" t="s">
        <v>996</v>
      </c>
    </row>
    <row r="18" spans="1:7" x14ac:dyDescent="0.35">
      <c r="A18">
        <v>17</v>
      </c>
      <c r="B18" s="10">
        <v>69001</v>
      </c>
      <c r="C18">
        <v>17</v>
      </c>
      <c r="D18" t="s">
        <v>907</v>
      </c>
      <c r="E18" t="s">
        <v>908</v>
      </c>
      <c r="F18" t="str">
        <f t="shared" si="0"/>
        <v>ชาย</v>
      </c>
      <c r="G18" t="s">
        <v>557</v>
      </c>
    </row>
    <row r="19" spans="1:7" x14ac:dyDescent="0.35">
      <c r="A19">
        <v>18</v>
      </c>
      <c r="B19" s="10">
        <v>69001</v>
      </c>
      <c r="C19">
        <v>18</v>
      </c>
      <c r="D19" t="s">
        <v>909</v>
      </c>
      <c r="E19" t="s">
        <v>910</v>
      </c>
      <c r="F19" t="str">
        <f t="shared" si="0"/>
        <v>ชาย</v>
      </c>
      <c r="G19" t="s">
        <v>557</v>
      </c>
    </row>
    <row r="20" spans="1:7" x14ac:dyDescent="0.35">
      <c r="A20">
        <v>19</v>
      </c>
      <c r="B20" s="10">
        <v>69001</v>
      </c>
      <c r="C20">
        <v>19</v>
      </c>
      <c r="D20" t="s">
        <v>911</v>
      </c>
      <c r="E20" t="s">
        <v>912</v>
      </c>
      <c r="F20" t="str">
        <f t="shared" si="0"/>
        <v>ชาย</v>
      </c>
      <c r="G20" t="s">
        <v>557</v>
      </c>
    </row>
    <row r="21" spans="1:7" x14ac:dyDescent="0.35">
      <c r="A21">
        <v>20</v>
      </c>
      <c r="B21" s="10">
        <v>69001</v>
      </c>
      <c r="C21">
        <v>20</v>
      </c>
      <c r="D21" t="s">
        <v>913</v>
      </c>
      <c r="E21" t="s">
        <v>914</v>
      </c>
      <c r="F21" t="str">
        <f t="shared" si="0"/>
        <v>ชาย</v>
      </c>
      <c r="G21" t="s">
        <v>557</v>
      </c>
    </row>
    <row r="22" spans="1:7" x14ac:dyDescent="0.35">
      <c r="A22">
        <v>21</v>
      </c>
      <c r="B22" s="10">
        <v>69001</v>
      </c>
      <c r="C22">
        <v>21</v>
      </c>
      <c r="D22" t="s">
        <v>915</v>
      </c>
      <c r="E22" t="s">
        <v>916</v>
      </c>
      <c r="F22" t="str">
        <f t="shared" si="0"/>
        <v>หญิง</v>
      </c>
      <c r="G22" t="s">
        <v>557</v>
      </c>
    </row>
    <row r="23" spans="1:7" x14ac:dyDescent="0.35">
      <c r="A23">
        <v>22</v>
      </c>
      <c r="B23" s="10">
        <v>69001</v>
      </c>
      <c r="C23">
        <v>22</v>
      </c>
      <c r="D23" t="s">
        <v>917</v>
      </c>
      <c r="E23" t="s">
        <v>918</v>
      </c>
      <c r="F23" t="str">
        <f t="shared" si="0"/>
        <v>หญิง</v>
      </c>
      <c r="G23" t="s">
        <v>557</v>
      </c>
    </row>
    <row r="24" spans="1:7" x14ac:dyDescent="0.35">
      <c r="A24">
        <v>23</v>
      </c>
      <c r="B24" s="10">
        <v>69001</v>
      </c>
      <c r="C24">
        <v>23</v>
      </c>
      <c r="D24" t="s">
        <v>919</v>
      </c>
      <c r="E24" t="s">
        <v>920</v>
      </c>
      <c r="F24" t="str">
        <f t="shared" si="0"/>
        <v>หญิง</v>
      </c>
      <c r="G24" t="s">
        <v>557</v>
      </c>
    </row>
    <row r="25" spans="1:7" x14ac:dyDescent="0.35">
      <c r="A25">
        <v>24</v>
      </c>
      <c r="B25" s="10">
        <v>69001</v>
      </c>
      <c r="C25">
        <v>24</v>
      </c>
      <c r="D25" t="s">
        <v>921</v>
      </c>
      <c r="E25" t="s">
        <v>922</v>
      </c>
      <c r="F25" t="str">
        <f t="shared" si="0"/>
        <v>หญิง</v>
      </c>
      <c r="G25" t="s">
        <v>557</v>
      </c>
    </row>
    <row r="26" spans="1:7" x14ac:dyDescent="0.35">
      <c r="A26">
        <v>25</v>
      </c>
      <c r="B26" s="10">
        <v>69001</v>
      </c>
      <c r="C26">
        <v>25</v>
      </c>
      <c r="D26" t="s">
        <v>648</v>
      </c>
      <c r="E26" t="s">
        <v>649</v>
      </c>
      <c r="F26" t="str">
        <f t="shared" si="0"/>
        <v>หญิง</v>
      </c>
      <c r="G26" t="s">
        <v>557</v>
      </c>
    </row>
    <row r="27" spans="1:7" x14ac:dyDescent="0.35">
      <c r="A27">
        <v>26</v>
      </c>
      <c r="B27" s="10">
        <v>69001</v>
      </c>
      <c r="C27">
        <v>26</v>
      </c>
      <c r="D27" t="s">
        <v>923</v>
      </c>
      <c r="E27" t="s">
        <v>924</v>
      </c>
      <c r="F27" t="str">
        <f t="shared" si="0"/>
        <v>ชาย</v>
      </c>
      <c r="G27" t="s">
        <v>557</v>
      </c>
    </row>
    <row r="28" spans="1:7" x14ac:dyDescent="0.35">
      <c r="A28">
        <v>27</v>
      </c>
      <c r="B28" s="10">
        <v>69004</v>
      </c>
      <c r="C28">
        <v>1</v>
      </c>
      <c r="D28" t="s">
        <v>1015</v>
      </c>
      <c r="E28" t="s">
        <v>1016</v>
      </c>
      <c r="F28" t="str">
        <f t="shared" si="0"/>
        <v>ชาย</v>
      </c>
      <c r="G28" t="s">
        <v>557</v>
      </c>
    </row>
    <row r="29" spans="1:7" x14ac:dyDescent="0.35">
      <c r="A29">
        <v>28</v>
      </c>
      <c r="B29" s="10">
        <v>69004</v>
      </c>
      <c r="C29">
        <v>2</v>
      </c>
      <c r="D29" t="s">
        <v>1017</v>
      </c>
      <c r="E29" t="s">
        <v>1018</v>
      </c>
      <c r="F29" t="str">
        <f t="shared" si="0"/>
        <v>ชาย</v>
      </c>
      <c r="G29" t="s">
        <v>557</v>
      </c>
    </row>
    <row r="30" spans="1:7" x14ac:dyDescent="0.35">
      <c r="A30">
        <v>29</v>
      </c>
      <c r="B30" s="10">
        <v>69004</v>
      </c>
      <c r="C30">
        <v>3</v>
      </c>
      <c r="D30" t="s">
        <v>1019</v>
      </c>
      <c r="E30" t="s">
        <v>1020</v>
      </c>
      <c r="F30" t="str">
        <f t="shared" si="0"/>
        <v>ชาย</v>
      </c>
      <c r="G30" t="s">
        <v>557</v>
      </c>
    </row>
    <row r="31" spans="1:7" x14ac:dyDescent="0.35">
      <c r="A31">
        <v>30</v>
      </c>
      <c r="B31" s="10">
        <v>69004</v>
      </c>
      <c r="C31">
        <v>4</v>
      </c>
      <c r="D31" t="s">
        <v>1021</v>
      </c>
      <c r="E31" t="s">
        <v>1022</v>
      </c>
      <c r="F31" t="str">
        <f t="shared" si="0"/>
        <v>ชาย</v>
      </c>
      <c r="G31" t="s">
        <v>557</v>
      </c>
    </row>
    <row r="32" spans="1:7" x14ac:dyDescent="0.35">
      <c r="A32">
        <v>31</v>
      </c>
      <c r="B32" s="10">
        <v>69004</v>
      </c>
      <c r="C32">
        <v>5</v>
      </c>
      <c r="D32" t="s">
        <v>1023</v>
      </c>
      <c r="E32" t="s">
        <v>1024</v>
      </c>
      <c r="F32" t="str">
        <f t="shared" si="0"/>
        <v>ชาย</v>
      </c>
      <c r="G32" t="s">
        <v>557</v>
      </c>
    </row>
    <row r="33" spans="1:7" x14ac:dyDescent="0.35">
      <c r="A33">
        <v>32</v>
      </c>
      <c r="B33" s="10">
        <v>69004</v>
      </c>
      <c r="C33">
        <v>6</v>
      </c>
      <c r="D33" t="s">
        <v>1025</v>
      </c>
      <c r="E33" t="s">
        <v>1026</v>
      </c>
      <c r="F33" t="str">
        <f t="shared" si="0"/>
        <v>ชาย</v>
      </c>
      <c r="G33" t="s">
        <v>557</v>
      </c>
    </row>
    <row r="34" spans="1:7" x14ac:dyDescent="0.35">
      <c r="A34">
        <v>33</v>
      </c>
      <c r="B34" s="10">
        <v>69004</v>
      </c>
      <c r="C34">
        <v>7</v>
      </c>
      <c r="D34" t="s">
        <v>1027</v>
      </c>
      <c r="E34" t="s">
        <v>1028</v>
      </c>
      <c r="F34" t="str">
        <f t="shared" si="0"/>
        <v>ชาย</v>
      </c>
      <c r="G34" t="s">
        <v>557</v>
      </c>
    </row>
    <row r="35" spans="1:7" x14ac:dyDescent="0.35">
      <c r="A35">
        <v>34</v>
      </c>
      <c r="B35" s="10">
        <v>69004</v>
      </c>
      <c r="C35">
        <v>8</v>
      </c>
      <c r="D35" t="s">
        <v>1029</v>
      </c>
      <c r="E35" t="s">
        <v>1030</v>
      </c>
      <c r="F35" t="str">
        <f t="shared" si="0"/>
        <v>ชาย</v>
      </c>
      <c r="G35" t="s">
        <v>557</v>
      </c>
    </row>
    <row r="36" spans="1:7" x14ac:dyDescent="0.35">
      <c r="A36">
        <v>35</v>
      </c>
      <c r="B36" s="10">
        <v>69004</v>
      </c>
      <c r="C36">
        <v>9</v>
      </c>
      <c r="D36" t="s">
        <v>1031</v>
      </c>
      <c r="E36" t="s">
        <v>1032</v>
      </c>
      <c r="F36" t="str">
        <f t="shared" si="0"/>
        <v>ชาย</v>
      </c>
      <c r="G36" t="s">
        <v>557</v>
      </c>
    </row>
    <row r="37" spans="1:7" x14ac:dyDescent="0.35">
      <c r="A37">
        <v>36</v>
      </c>
      <c r="B37" s="10">
        <v>69004</v>
      </c>
      <c r="C37">
        <v>10</v>
      </c>
      <c r="D37" t="s">
        <v>1033</v>
      </c>
      <c r="E37" t="s">
        <v>1034</v>
      </c>
      <c r="F37" t="str">
        <f t="shared" si="0"/>
        <v>ชาย</v>
      </c>
      <c r="G37" t="s">
        <v>557</v>
      </c>
    </row>
    <row r="38" spans="1:7" x14ac:dyDescent="0.35">
      <c r="A38">
        <v>37</v>
      </c>
      <c r="B38" s="10">
        <v>69004</v>
      </c>
      <c r="C38">
        <v>11</v>
      </c>
      <c r="D38" t="s">
        <v>1035</v>
      </c>
      <c r="E38" t="s">
        <v>1036</v>
      </c>
      <c r="F38" t="str">
        <f t="shared" si="0"/>
        <v>ชาย</v>
      </c>
      <c r="G38" t="s">
        <v>557</v>
      </c>
    </row>
    <row r="39" spans="1:7" x14ac:dyDescent="0.35">
      <c r="A39">
        <v>38</v>
      </c>
      <c r="B39" s="10">
        <v>69004</v>
      </c>
      <c r="C39">
        <v>12</v>
      </c>
      <c r="D39" t="s">
        <v>1037</v>
      </c>
      <c r="E39" t="s">
        <v>1038</v>
      </c>
      <c r="F39" t="str">
        <f t="shared" si="0"/>
        <v>ชาย</v>
      </c>
      <c r="G39" t="s">
        <v>557</v>
      </c>
    </row>
    <row r="40" spans="1:7" x14ac:dyDescent="0.35">
      <c r="A40">
        <v>39</v>
      </c>
      <c r="B40" s="10">
        <v>69004</v>
      </c>
      <c r="C40">
        <v>13</v>
      </c>
      <c r="D40" t="s">
        <v>1039</v>
      </c>
      <c r="E40" t="s">
        <v>1040</v>
      </c>
      <c r="F40" t="str">
        <f t="shared" si="0"/>
        <v>ชาย</v>
      </c>
      <c r="G40" t="s">
        <v>996</v>
      </c>
    </row>
    <row r="41" spans="1:7" x14ac:dyDescent="0.35">
      <c r="A41">
        <v>40</v>
      </c>
      <c r="B41" s="10">
        <v>69004</v>
      </c>
      <c r="C41">
        <v>14</v>
      </c>
      <c r="D41" t="s">
        <v>1041</v>
      </c>
      <c r="E41" t="s">
        <v>1042</v>
      </c>
      <c r="F41" t="str">
        <f t="shared" si="0"/>
        <v>ชาย</v>
      </c>
      <c r="G41" t="s">
        <v>557</v>
      </c>
    </row>
    <row r="42" spans="1:7" x14ac:dyDescent="0.35">
      <c r="A42">
        <v>41</v>
      </c>
      <c r="B42" s="10">
        <v>69004</v>
      </c>
      <c r="C42">
        <v>15</v>
      </c>
      <c r="D42" t="s">
        <v>1043</v>
      </c>
      <c r="E42" t="s">
        <v>1044</v>
      </c>
      <c r="F42" t="str">
        <f t="shared" si="0"/>
        <v>ชาย</v>
      </c>
      <c r="G42" t="s">
        <v>557</v>
      </c>
    </row>
    <row r="43" spans="1:7" x14ac:dyDescent="0.35">
      <c r="A43">
        <v>42</v>
      </c>
      <c r="B43" s="10">
        <v>69004</v>
      </c>
      <c r="C43">
        <v>16</v>
      </c>
      <c r="D43" t="s">
        <v>1045</v>
      </c>
      <c r="E43" t="s">
        <v>1046</v>
      </c>
      <c r="F43" t="str">
        <f t="shared" si="0"/>
        <v>ชาย</v>
      </c>
      <c r="G43" t="s">
        <v>557</v>
      </c>
    </row>
    <row r="44" spans="1:7" x14ac:dyDescent="0.35">
      <c r="A44">
        <v>43</v>
      </c>
      <c r="B44" s="10">
        <v>69004</v>
      </c>
      <c r="C44">
        <v>17</v>
      </c>
      <c r="D44" t="s">
        <v>1047</v>
      </c>
      <c r="E44" t="s">
        <v>1048</v>
      </c>
      <c r="F44" t="str">
        <f t="shared" si="0"/>
        <v>ชาย</v>
      </c>
      <c r="G44" t="s">
        <v>557</v>
      </c>
    </row>
    <row r="45" spans="1:7" x14ac:dyDescent="0.35">
      <c r="A45">
        <v>44</v>
      </c>
      <c r="B45" s="10">
        <v>69004</v>
      </c>
      <c r="C45">
        <v>18</v>
      </c>
      <c r="D45" t="s">
        <v>1049</v>
      </c>
      <c r="E45" t="s">
        <v>1050</v>
      </c>
      <c r="F45" t="str">
        <f t="shared" si="0"/>
        <v>ชาย</v>
      </c>
      <c r="G45" t="s">
        <v>557</v>
      </c>
    </row>
    <row r="46" spans="1:7" x14ac:dyDescent="0.35">
      <c r="A46">
        <v>45</v>
      </c>
      <c r="B46" s="10">
        <v>69004</v>
      </c>
      <c r="C46">
        <v>19</v>
      </c>
      <c r="D46" t="s">
        <v>1051</v>
      </c>
      <c r="E46" t="s">
        <v>1052</v>
      </c>
      <c r="F46" t="str">
        <f t="shared" si="0"/>
        <v>ชาย</v>
      </c>
      <c r="G46" t="s">
        <v>996</v>
      </c>
    </row>
    <row r="47" spans="1:7" x14ac:dyDescent="0.35">
      <c r="A47">
        <v>46</v>
      </c>
      <c r="B47" s="10">
        <v>69004</v>
      </c>
      <c r="C47">
        <v>20</v>
      </c>
      <c r="D47" t="s">
        <v>1053</v>
      </c>
      <c r="E47" t="s">
        <v>1054</v>
      </c>
      <c r="F47" t="str">
        <f t="shared" si="0"/>
        <v>ชาย</v>
      </c>
      <c r="G47" t="s">
        <v>557</v>
      </c>
    </row>
    <row r="48" spans="1:7" x14ac:dyDescent="0.35">
      <c r="A48">
        <v>47</v>
      </c>
      <c r="B48" s="10">
        <v>69004</v>
      </c>
      <c r="C48">
        <v>21</v>
      </c>
      <c r="D48" t="s">
        <v>1055</v>
      </c>
      <c r="E48" t="s">
        <v>1056</v>
      </c>
      <c r="F48" t="str">
        <f t="shared" si="0"/>
        <v>ชาย</v>
      </c>
      <c r="G48" t="s">
        <v>557</v>
      </c>
    </row>
    <row r="49" spans="1:7" x14ac:dyDescent="0.35">
      <c r="A49">
        <v>48</v>
      </c>
      <c r="B49" s="10">
        <v>69003</v>
      </c>
      <c r="C49">
        <v>1</v>
      </c>
      <c r="D49" t="s">
        <v>1057</v>
      </c>
      <c r="E49" t="s">
        <v>1058</v>
      </c>
      <c r="F49" t="str">
        <f t="shared" ref="F49:F79" si="1">IF(LEFT(D49,3)="นาย","ชาย",IF(LEFT(D49,3)="นาง","หญิง",""))</f>
        <v>หญิง</v>
      </c>
      <c r="G49" t="s">
        <v>557</v>
      </c>
    </row>
    <row r="50" spans="1:7" x14ac:dyDescent="0.35">
      <c r="A50">
        <v>49</v>
      </c>
      <c r="B50" s="10">
        <v>69003</v>
      </c>
      <c r="C50">
        <v>2</v>
      </c>
      <c r="D50" t="s">
        <v>1059</v>
      </c>
      <c r="E50" t="s">
        <v>1060</v>
      </c>
      <c r="F50" t="str">
        <f t="shared" si="1"/>
        <v>หญิง</v>
      </c>
      <c r="G50" t="s">
        <v>557</v>
      </c>
    </row>
    <row r="51" spans="1:7" x14ac:dyDescent="0.35">
      <c r="A51">
        <v>50</v>
      </c>
      <c r="B51" s="10">
        <v>69003</v>
      </c>
      <c r="C51">
        <v>3</v>
      </c>
      <c r="D51" t="s">
        <v>1061</v>
      </c>
      <c r="E51" t="s">
        <v>1062</v>
      </c>
      <c r="F51" t="str">
        <f t="shared" si="1"/>
        <v>หญิง</v>
      </c>
      <c r="G51" t="s">
        <v>557</v>
      </c>
    </row>
    <row r="52" spans="1:7" x14ac:dyDescent="0.35">
      <c r="A52">
        <v>51</v>
      </c>
      <c r="B52" s="10">
        <v>69003</v>
      </c>
      <c r="C52">
        <v>4</v>
      </c>
      <c r="D52" t="s">
        <v>1063</v>
      </c>
      <c r="E52" t="s">
        <v>1064</v>
      </c>
      <c r="F52" t="str">
        <f t="shared" si="1"/>
        <v>หญิง</v>
      </c>
      <c r="G52" t="s">
        <v>557</v>
      </c>
    </row>
    <row r="53" spans="1:7" x14ac:dyDescent="0.35">
      <c r="A53">
        <v>52</v>
      </c>
      <c r="B53" s="10">
        <v>69003</v>
      </c>
      <c r="C53">
        <v>5</v>
      </c>
      <c r="D53" t="s">
        <v>1065</v>
      </c>
      <c r="E53" t="s">
        <v>1066</v>
      </c>
      <c r="F53" t="str">
        <f t="shared" si="1"/>
        <v>หญิง</v>
      </c>
      <c r="G53" t="s">
        <v>557</v>
      </c>
    </row>
    <row r="54" spans="1:7" x14ac:dyDescent="0.35">
      <c r="A54">
        <v>53</v>
      </c>
      <c r="B54" s="10">
        <v>69003</v>
      </c>
      <c r="C54">
        <v>6</v>
      </c>
      <c r="D54" t="s">
        <v>1067</v>
      </c>
      <c r="E54" t="s">
        <v>1068</v>
      </c>
      <c r="F54" t="str">
        <f t="shared" si="1"/>
        <v>ชาย</v>
      </c>
      <c r="G54" t="s">
        <v>557</v>
      </c>
    </row>
    <row r="55" spans="1:7" x14ac:dyDescent="0.35">
      <c r="A55">
        <v>54</v>
      </c>
      <c r="B55" s="10">
        <v>69003</v>
      </c>
      <c r="C55">
        <v>7</v>
      </c>
      <c r="D55" t="s">
        <v>1069</v>
      </c>
      <c r="E55" t="s">
        <v>1070</v>
      </c>
      <c r="F55" t="str">
        <f t="shared" si="1"/>
        <v>หญิง</v>
      </c>
      <c r="G55" t="s">
        <v>557</v>
      </c>
    </row>
    <row r="56" spans="1:7" x14ac:dyDescent="0.35">
      <c r="A56">
        <v>55</v>
      </c>
      <c r="B56" s="10">
        <v>69003</v>
      </c>
      <c r="C56">
        <v>8</v>
      </c>
      <c r="D56" t="s">
        <v>1071</v>
      </c>
      <c r="E56" t="s">
        <v>1072</v>
      </c>
      <c r="F56" t="str">
        <f t="shared" si="1"/>
        <v>หญิง</v>
      </c>
      <c r="G56" t="s">
        <v>557</v>
      </c>
    </row>
    <row r="57" spans="1:7" x14ac:dyDescent="0.35">
      <c r="A57">
        <v>56</v>
      </c>
      <c r="B57" s="10">
        <v>69003</v>
      </c>
      <c r="C57">
        <v>9</v>
      </c>
      <c r="D57" t="s">
        <v>1073</v>
      </c>
      <c r="E57" t="s">
        <v>1074</v>
      </c>
      <c r="F57" t="str">
        <f t="shared" si="1"/>
        <v>ชาย</v>
      </c>
      <c r="G57" t="s">
        <v>557</v>
      </c>
    </row>
    <row r="58" spans="1:7" x14ac:dyDescent="0.35">
      <c r="A58">
        <v>57</v>
      </c>
      <c r="B58" s="10">
        <v>69003</v>
      </c>
      <c r="C58">
        <v>10</v>
      </c>
      <c r="D58" t="s">
        <v>1075</v>
      </c>
      <c r="E58" t="s">
        <v>1076</v>
      </c>
      <c r="F58" t="str">
        <f t="shared" si="1"/>
        <v>หญิง</v>
      </c>
      <c r="G58" t="s">
        <v>557</v>
      </c>
    </row>
    <row r="59" spans="1:7" x14ac:dyDescent="0.35">
      <c r="A59">
        <v>58</v>
      </c>
      <c r="B59" s="10">
        <v>69003</v>
      </c>
      <c r="C59">
        <v>11</v>
      </c>
      <c r="D59" t="s">
        <v>1077</v>
      </c>
      <c r="E59" t="s">
        <v>1078</v>
      </c>
      <c r="F59" t="str">
        <f t="shared" si="1"/>
        <v>ชาย</v>
      </c>
      <c r="G59" t="s">
        <v>557</v>
      </c>
    </row>
    <row r="60" spans="1:7" x14ac:dyDescent="0.35">
      <c r="A60">
        <v>59</v>
      </c>
      <c r="B60" s="10">
        <v>69003</v>
      </c>
      <c r="C60">
        <v>12</v>
      </c>
      <c r="D60" t="s">
        <v>1079</v>
      </c>
      <c r="E60" t="s">
        <v>1080</v>
      </c>
      <c r="F60" t="str">
        <f t="shared" si="1"/>
        <v>หญิง</v>
      </c>
      <c r="G60" t="s">
        <v>557</v>
      </c>
    </row>
    <row r="61" spans="1:7" x14ac:dyDescent="0.35">
      <c r="A61">
        <v>60</v>
      </c>
      <c r="B61" s="10">
        <v>69003</v>
      </c>
      <c r="C61">
        <v>13</v>
      </c>
      <c r="D61" t="s">
        <v>1081</v>
      </c>
      <c r="E61" t="s">
        <v>1082</v>
      </c>
      <c r="F61" t="str">
        <f t="shared" si="1"/>
        <v>หญิง</v>
      </c>
      <c r="G61" t="s">
        <v>557</v>
      </c>
    </row>
    <row r="62" spans="1:7" x14ac:dyDescent="0.35">
      <c r="A62">
        <v>61</v>
      </c>
      <c r="B62" s="10">
        <v>69003</v>
      </c>
      <c r="C62">
        <v>14</v>
      </c>
      <c r="D62" t="s">
        <v>1083</v>
      </c>
      <c r="E62" t="s">
        <v>1084</v>
      </c>
      <c r="F62" t="str">
        <f t="shared" si="1"/>
        <v>หญิง</v>
      </c>
      <c r="G62" t="s">
        <v>557</v>
      </c>
    </row>
    <row r="63" spans="1:7" x14ac:dyDescent="0.35">
      <c r="A63">
        <v>62</v>
      </c>
      <c r="B63" s="10">
        <v>69003</v>
      </c>
      <c r="C63">
        <v>15</v>
      </c>
      <c r="D63" t="s">
        <v>1085</v>
      </c>
      <c r="E63" t="s">
        <v>1086</v>
      </c>
      <c r="F63" t="str">
        <f t="shared" si="1"/>
        <v>หญิง</v>
      </c>
      <c r="G63" t="s">
        <v>557</v>
      </c>
    </row>
    <row r="64" spans="1:7" x14ac:dyDescent="0.35">
      <c r="A64">
        <v>63</v>
      </c>
      <c r="B64" s="10">
        <v>69003</v>
      </c>
      <c r="C64">
        <v>16</v>
      </c>
      <c r="D64" t="s">
        <v>767</v>
      </c>
      <c r="E64" t="s">
        <v>1087</v>
      </c>
      <c r="F64" t="str">
        <f t="shared" si="1"/>
        <v>หญิง</v>
      </c>
      <c r="G64" t="s">
        <v>557</v>
      </c>
    </row>
    <row r="65" spans="1:7" x14ac:dyDescent="0.35">
      <c r="A65">
        <v>64</v>
      </c>
      <c r="B65" s="10">
        <v>69003</v>
      </c>
      <c r="C65">
        <v>17</v>
      </c>
      <c r="D65" t="s">
        <v>1088</v>
      </c>
      <c r="E65" t="s">
        <v>1089</v>
      </c>
      <c r="F65" t="str">
        <f t="shared" si="1"/>
        <v>หญิง</v>
      </c>
      <c r="G65" t="s">
        <v>557</v>
      </c>
    </row>
    <row r="66" spans="1:7" x14ac:dyDescent="0.35">
      <c r="A66">
        <v>65</v>
      </c>
      <c r="B66" s="10">
        <v>69003</v>
      </c>
      <c r="C66">
        <v>18</v>
      </c>
      <c r="D66" t="s">
        <v>1090</v>
      </c>
      <c r="E66" t="s">
        <v>1091</v>
      </c>
      <c r="F66" t="str">
        <f t="shared" si="1"/>
        <v>หญิง</v>
      </c>
      <c r="G66" t="s">
        <v>557</v>
      </c>
    </row>
    <row r="67" spans="1:7" x14ac:dyDescent="0.35">
      <c r="A67">
        <v>66</v>
      </c>
      <c r="B67" s="10">
        <v>69003</v>
      </c>
      <c r="C67">
        <v>19</v>
      </c>
      <c r="D67" t="s">
        <v>1092</v>
      </c>
      <c r="E67" t="s">
        <v>1093</v>
      </c>
      <c r="F67" t="str">
        <f t="shared" si="1"/>
        <v>หญิง</v>
      </c>
      <c r="G67" t="s">
        <v>557</v>
      </c>
    </row>
    <row r="68" spans="1:7" x14ac:dyDescent="0.35">
      <c r="A68">
        <v>67</v>
      </c>
      <c r="B68" s="10">
        <v>69003</v>
      </c>
      <c r="C68">
        <v>20</v>
      </c>
      <c r="D68" t="s">
        <v>1094</v>
      </c>
      <c r="E68" t="s">
        <v>1095</v>
      </c>
      <c r="F68" t="str">
        <f t="shared" si="1"/>
        <v>หญิง</v>
      </c>
      <c r="G68" t="s">
        <v>557</v>
      </c>
    </row>
    <row r="69" spans="1:7" x14ac:dyDescent="0.35">
      <c r="A69">
        <v>68</v>
      </c>
      <c r="B69" s="10">
        <v>69003</v>
      </c>
      <c r="C69">
        <v>21</v>
      </c>
      <c r="D69" t="s">
        <v>1096</v>
      </c>
      <c r="E69" t="s">
        <v>1097</v>
      </c>
      <c r="F69" t="str">
        <f t="shared" si="1"/>
        <v>หญิง</v>
      </c>
      <c r="G69" t="s">
        <v>557</v>
      </c>
    </row>
    <row r="70" spans="1:7" x14ac:dyDescent="0.35">
      <c r="A70">
        <v>69</v>
      </c>
      <c r="B70" s="10">
        <v>69003</v>
      </c>
      <c r="C70">
        <v>22</v>
      </c>
      <c r="D70" t="s">
        <v>1098</v>
      </c>
      <c r="E70" t="s">
        <v>1099</v>
      </c>
      <c r="F70" t="str">
        <f t="shared" si="1"/>
        <v>หญิง</v>
      </c>
      <c r="G70" t="s">
        <v>557</v>
      </c>
    </row>
    <row r="71" spans="1:7" x14ac:dyDescent="0.35">
      <c r="A71">
        <v>70</v>
      </c>
      <c r="B71" s="10">
        <v>69003</v>
      </c>
      <c r="C71">
        <v>23</v>
      </c>
      <c r="D71" t="s">
        <v>1100</v>
      </c>
      <c r="E71" t="s">
        <v>1101</v>
      </c>
      <c r="F71" t="str">
        <f t="shared" si="1"/>
        <v>หญิง</v>
      </c>
      <c r="G71" t="s">
        <v>557</v>
      </c>
    </row>
    <row r="72" spans="1:7" x14ac:dyDescent="0.35">
      <c r="A72">
        <v>71</v>
      </c>
      <c r="B72" s="10">
        <v>69003</v>
      </c>
      <c r="C72">
        <v>24</v>
      </c>
      <c r="D72" t="s">
        <v>1102</v>
      </c>
      <c r="E72" t="s">
        <v>1103</v>
      </c>
      <c r="F72" t="str">
        <f t="shared" si="1"/>
        <v>หญิง</v>
      </c>
      <c r="G72" t="s">
        <v>557</v>
      </c>
    </row>
    <row r="73" spans="1:7" x14ac:dyDescent="0.35">
      <c r="A73">
        <v>72</v>
      </c>
      <c r="B73" s="10">
        <v>69003</v>
      </c>
      <c r="C73">
        <v>25</v>
      </c>
      <c r="D73" t="s">
        <v>1104</v>
      </c>
      <c r="E73" t="s">
        <v>1105</v>
      </c>
      <c r="F73" t="str">
        <f t="shared" si="1"/>
        <v>หญิง</v>
      </c>
      <c r="G73" t="s">
        <v>557</v>
      </c>
    </row>
    <row r="74" spans="1:7" x14ac:dyDescent="0.35">
      <c r="A74">
        <v>73</v>
      </c>
      <c r="B74" s="10">
        <v>69003</v>
      </c>
      <c r="C74">
        <v>26</v>
      </c>
      <c r="D74" t="s">
        <v>1106</v>
      </c>
      <c r="E74" t="s">
        <v>1107</v>
      </c>
      <c r="F74" t="str">
        <f t="shared" si="1"/>
        <v>หญิง</v>
      </c>
      <c r="G74" t="s">
        <v>557</v>
      </c>
    </row>
    <row r="75" spans="1:7" x14ac:dyDescent="0.35">
      <c r="A75">
        <v>74</v>
      </c>
      <c r="B75" s="10">
        <v>69003</v>
      </c>
      <c r="C75">
        <v>27</v>
      </c>
      <c r="D75" t="s">
        <v>1108</v>
      </c>
      <c r="E75" t="s">
        <v>1109</v>
      </c>
      <c r="F75" t="str">
        <f t="shared" si="1"/>
        <v>หญิง</v>
      </c>
      <c r="G75" t="s">
        <v>557</v>
      </c>
    </row>
    <row r="76" spans="1:7" x14ac:dyDescent="0.35">
      <c r="B76" s="10">
        <v>69003</v>
      </c>
      <c r="C76">
        <v>28</v>
      </c>
      <c r="D76" t="s">
        <v>1110</v>
      </c>
      <c r="E76" t="s">
        <v>1111</v>
      </c>
      <c r="F76" t="str">
        <f t="shared" si="1"/>
        <v>หญิง</v>
      </c>
      <c r="G76" t="s">
        <v>557</v>
      </c>
    </row>
    <row r="77" spans="1:7" x14ac:dyDescent="0.35">
      <c r="B77" s="10">
        <v>69003</v>
      </c>
      <c r="C77">
        <v>29</v>
      </c>
      <c r="D77" t="s">
        <v>1112</v>
      </c>
      <c r="E77" t="s">
        <v>1113</v>
      </c>
      <c r="F77" t="str">
        <f t="shared" si="1"/>
        <v>หญิง</v>
      </c>
      <c r="G77" t="s">
        <v>557</v>
      </c>
    </row>
    <row r="78" spans="1:7" x14ac:dyDescent="0.35">
      <c r="B78" s="10">
        <v>69003</v>
      </c>
      <c r="C78">
        <v>30</v>
      </c>
      <c r="D78" t="s">
        <v>1114</v>
      </c>
      <c r="E78" t="s">
        <v>1115</v>
      </c>
      <c r="F78" t="str">
        <f t="shared" si="1"/>
        <v>หญิง</v>
      </c>
      <c r="G78" t="s">
        <v>557</v>
      </c>
    </row>
    <row r="79" spans="1:7" x14ac:dyDescent="0.35">
      <c r="B79" s="10">
        <v>69003</v>
      </c>
      <c r="C79">
        <v>31</v>
      </c>
      <c r="D79" t="s">
        <v>1116</v>
      </c>
      <c r="E79" t="s">
        <v>1117</v>
      </c>
      <c r="F79" t="str">
        <f t="shared" si="1"/>
        <v>หญิง</v>
      </c>
      <c r="G79" t="s">
        <v>557</v>
      </c>
    </row>
    <row r="80" spans="1:7" x14ac:dyDescent="0.35">
      <c r="B80" s="10">
        <v>69002</v>
      </c>
      <c r="C80">
        <v>1</v>
      </c>
      <c r="D80" t="s">
        <v>1118</v>
      </c>
      <c r="E80" t="s">
        <v>1119</v>
      </c>
      <c r="F80" t="str">
        <f t="shared" ref="F80:F104" si="2">IF(LEFT(D80,3)="นาย","ชาย",IF(LEFT(D80,3)="นาง","หญิง",""))</f>
        <v>หญิง</v>
      </c>
      <c r="G80" t="s">
        <v>557</v>
      </c>
    </row>
    <row r="81" spans="2:7" x14ac:dyDescent="0.35">
      <c r="B81" s="10">
        <v>69002</v>
      </c>
      <c r="C81">
        <v>2</v>
      </c>
      <c r="D81" t="s">
        <v>1120</v>
      </c>
      <c r="E81" t="s">
        <v>1121</v>
      </c>
      <c r="F81" t="str">
        <f t="shared" si="2"/>
        <v>ชาย</v>
      </c>
      <c r="G81" t="s">
        <v>557</v>
      </c>
    </row>
    <row r="82" spans="2:7" x14ac:dyDescent="0.35">
      <c r="B82" s="10">
        <v>69002</v>
      </c>
      <c r="C82">
        <v>3</v>
      </c>
      <c r="D82" t="s">
        <v>1122</v>
      </c>
      <c r="E82" t="s">
        <v>1123</v>
      </c>
      <c r="F82" t="str">
        <f t="shared" si="2"/>
        <v>ชาย</v>
      </c>
      <c r="G82" t="s">
        <v>557</v>
      </c>
    </row>
    <row r="83" spans="2:7" x14ac:dyDescent="0.35">
      <c r="B83" s="10">
        <v>69002</v>
      </c>
      <c r="C83">
        <v>4</v>
      </c>
      <c r="D83" t="s">
        <v>1124</v>
      </c>
      <c r="E83" t="s">
        <v>1125</v>
      </c>
      <c r="F83" t="str">
        <f t="shared" si="2"/>
        <v>หญิง</v>
      </c>
      <c r="G83" t="s">
        <v>557</v>
      </c>
    </row>
    <row r="84" spans="2:7" x14ac:dyDescent="0.35">
      <c r="B84" s="10">
        <v>69002</v>
      </c>
      <c r="C84">
        <v>5</v>
      </c>
      <c r="D84" t="s">
        <v>1126</v>
      </c>
      <c r="E84" t="s">
        <v>1127</v>
      </c>
      <c r="F84" t="str">
        <f t="shared" si="2"/>
        <v>ชาย</v>
      </c>
      <c r="G84" t="s">
        <v>557</v>
      </c>
    </row>
    <row r="85" spans="2:7" x14ac:dyDescent="0.35">
      <c r="B85" s="10">
        <v>69002</v>
      </c>
      <c r="C85">
        <v>6</v>
      </c>
      <c r="D85" t="s">
        <v>1128</v>
      </c>
      <c r="E85" t="s">
        <v>1129</v>
      </c>
      <c r="F85" t="str">
        <f t="shared" si="2"/>
        <v>ชาย</v>
      </c>
      <c r="G85" t="s">
        <v>557</v>
      </c>
    </row>
    <row r="86" spans="2:7" x14ac:dyDescent="0.35">
      <c r="B86" s="10">
        <v>69002</v>
      </c>
      <c r="C86">
        <v>7</v>
      </c>
      <c r="D86" t="s">
        <v>1130</v>
      </c>
      <c r="E86" t="s">
        <v>1131</v>
      </c>
      <c r="F86" t="str">
        <f t="shared" si="2"/>
        <v>ชาย</v>
      </c>
      <c r="G86" t="s">
        <v>557</v>
      </c>
    </row>
    <row r="87" spans="2:7" x14ac:dyDescent="0.35">
      <c r="B87" s="10">
        <v>69002</v>
      </c>
      <c r="C87">
        <v>8</v>
      </c>
      <c r="D87" t="s">
        <v>1132</v>
      </c>
      <c r="E87" t="s">
        <v>1133</v>
      </c>
      <c r="F87" t="str">
        <f t="shared" si="2"/>
        <v>ชาย</v>
      </c>
      <c r="G87" t="s">
        <v>557</v>
      </c>
    </row>
    <row r="88" spans="2:7" x14ac:dyDescent="0.35">
      <c r="B88" s="10">
        <v>69002</v>
      </c>
      <c r="C88">
        <v>9</v>
      </c>
      <c r="D88" t="s">
        <v>1134</v>
      </c>
      <c r="E88" t="s">
        <v>1135</v>
      </c>
      <c r="F88" t="str">
        <f t="shared" si="2"/>
        <v>ชาย</v>
      </c>
      <c r="G88" t="s">
        <v>557</v>
      </c>
    </row>
    <row r="89" spans="2:7" x14ac:dyDescent="0.35">
      <c r="B89" s="10">
        <v>69002</v>
      </c>
      <c r="C89">
        <v>10</v>
      </c>
      <c r="D89" t="s">
        <v>1136</v>
      </c>
      <c r="E89" t="s">
        <v>1137</v>
      </c>
      <c r="F89" t="str">
        <f t="shared" si="2"/>
        <v>ชาย</v>
      </c>
      <c r="G89" t="s">
        <v>557</v>
      </c>
    </row>
    <row r="90" spans="2:7" x14ac:dyDescent="0.35">
      <c r="B90" s="10">
        <v>69002</v>
      </c>
      <c r="C90">
        <v>11</v>
      </c>
      <c r="D90" t="s">
        <v>1138</v>
      </c>
      <c r="E90" t="s">
        <v>1139</v>
      </c>
      <c r="F90" t="str">
        <f t="shared" si="2"/>
        <v>ชาย</v>
      </c>
      <c r="G90" t="s">
        <v>557</v>
      </c>
    </row>
    <row r="91" spans="2:7" x14ac:dyDescent="0.35">
      <c r="B91" s="10">
        <v>69002</v>
      </c>
      <c r="C91">
        <v>12</v>
      </c>
      <c r="D91" t="s">
        <v>1140</v>
      </c>
      <c r="E91" t="s">
        <v>1141</v>
      </c>
      <c r="F91" t="str">
        <f t="shared" si="2"/>
        <v>ชาย</v>
      </c>
      <c r="G91" t="s">
        <v>557</v>
      </c>
    </row>
    <row r="92" spans="2:7" x14ac:dyDescent="0.35">
      <c r="B92" s="10">
        <v>69002</v>
      </c>
      <c r="C92">
        <v>13</v>
      </c>
      <c r="D92" t="s">
        <v>1142</v>
      </c>
      <c r="E92" t="s">
        <v>1143</v>
      </c>
      <c r="F92" t="str">
        <f t="shared" si="2"/>
        <v>หญิง</v>
      </c>
      <c r="G92" t="s">
        <v>557</v>
      </c>
    </row>
    <row r="93" spans="2:7" x14ac:dyDescent="0.35">
      <c r="B93" s="10">
        <v>69002</v>
      </c>
      <c r="C93">
        <v>14</v>
      </c>
      <c r="D93" t="s">
        <v>1144</v>
      </c>
      <c r="E93" t="s">
        <v>1145</v>
      </c>
      <c r="F93" t="str">
        <f t="shared" si="2"/>
        <v>หญิง</v>
      </c>
      <c r="G93" t="s">
        <v>557</v>
      </c>
    </row>
    <row r="94" spans="2:7" x14ac:dyDescent="0.35">
      <c r="B94" s="10">
        <v>69002</v>
      </c>
      <c r="C94">
        <v>15</v>
      </c>
      <c r="D94" t="s">
        <v>1146</v>
      </c>
      <c r="E94" t="s">
        <v>1147</v>
      </c>
      <c r="F94" t="str">
        <f t="shared" si="2"/>
        <v>หญิง</v>
      </c>
      <c r="G94" t="s">
        <v>557</v>
      </c>
    </row>
    <row r="95" spans="2:7" x14ac:dyDescent="0.35">
      <c r="B95" s="10">
        <v>69002</v>
      </c>
      <c r="C95">
        <v>16</v>
      </c>
      <c r="D95" t="s">
        <v>1148</v>
      </c>
      <c r="E95" t="s">
        <v>1149</v>
      </c>
      <c r="F95" t="str">
        <f t="shared" si="2"/>
        <v>หญิง</v>
      </c>
      <c r="G95" t="s">
        <v>557</v>
      </c>
    </row>
    <row r="96" spans="2:7" x14ac:dyDescent="0.35">
      <c r="B96" s="10">
        <v>69002</v>
      </c>
      <c r="C96">
        <v>17</v>
      </c>
      <c r="D96" t="s">
        <v>1150</v>
      </c>
      <c r="E96" t="s">
        <v>1151</v>
      </c>
      <c r="F96" t="str">
        <f t="shared" si="2"/>
        <v>หญิง</v>
      </c>
      <c r="G96" t="s">
        <v>557</v>
      </c>
    </row>
    <row r="97" spans="2:7" x14ac:dyDescent="0.35">
      <c r="B97" s="10">
        <v>69002</v>
      </c>
      <c r="C97">
        <v>18</v>
      </c>
      <c r="D97" t="s">
        <v>1152</v>
      </c>
      <c r="E97" t="s">
        <v>1153</v>
      </c>
      <c r="F97" t="str">
        <f t="shared" si="2"/>
        <v>ชาย</v>
      </c>
      <c r="G97" t="s">
        <v>557</v>
      </c>
    </row>
    <row r="98" spans="2:7" x14ac:dyDescent="0.35">
      <c r="B98" s="10">
        <v>69002</v>
      </c>
      <c r="C98">
        <v>19</v>
      </c>
      <c r="D98" t="s">
        <v>1154</v>
      </c>
      <c r="E98" t="s">
        <v>1155</v>
      </c>
      <c r="F98" t="str">
        <f t="shared" si="2"/>
        <v>หญิง</v>
      </c>
      <c r="G98" t="s">
        <v>557</v>
      </c>
    </row>
    <row r="99" spans="2:7" x14ac:dyDescent="0.35">
      <c r="B99" s="10">
        <v>69002</v>
      </c>
      <c r="C99">
        <v>20</v>
      </c>
      <c r="D99" t="s">
        <v>1156</v>
      </c>
      <c r="E99" t="s">
        <v>1157</v>
      </c>
      <c r="F99" t="str">
        <f t="shared" si="2"/>
        <v>หญิง</v>
      </c>
      <c r="G99" t="s">
        <v>557</v>
      </c>
    </row>
    <row r="100" spans="2:7" x14ac:dyDescent="0.35">
      <c r="B100" s="10">
        <v>69002</v>
      </c>
      <c r="C100">
        <v>21</v>
      </c>
      <c r="D100" t="s">
        <v>1158</v>
      </c>
      <c r="E100" t="s">
        <v>1159</v>
      </c>
      <c r="F100" t="str">
        <f t="shared" si="2"/>
        <v>หญิง</v>
      </c>
      <c r="G100" t="s">
        <v>557</v>
      </c>
    </row>
    <row r="101" spans="2:7" x14ac:dyDescent="0.35">
      <c r="B101" s="10">
        <v>69002</v>
      </c>
      <c r="C101">
        <v>22</v>
      </c>
      <c r="D101" t="s">
        <v>1160</v>
      </c>
      <c r="E101" t="s">
        <v>1161</v>
      </c>
      <c r="F101" t="str">
        <f t="shared" si="2"/>
        <v>หญิง</v>
      </c>
      <c r="G101" t="s">
        <v>557</v>
      </c>
    </row>
    <row r="102" spans="2:7" x14ac:dyDescent="0.35">
      <c r="B102" s="10">
        <v>69002</v>
      </c>
      <c r="C102">
        <v>23</v>
      </c>
      <c r="D102" t="s">
        <v>1162</v>
      </c>
      <c r="E102" t="s">
        <v>1163</v>
      </c>
      <c r="F102" t="str">
        <f t="shared" si="2"/>
        <v>หญิง</v>
      </c>
      <c r="G102" t="s">
        <v>557</v>
      </c>
    </row>
    <row r="103" spans="2:7" x14ac:dyDescent="0.35">
      <c r="B103" s="10">
        <v>69002</v>
      </c>
      <c r="C103">
        <v>24</v>
      </c>
      <c r="D103" t="s">
        <v>1164</v>
      </c>
      <c r="E103" t="s">
        <v>1165</v>
      </c>
      <c r="F103" t="str">
        <f t="shared" si="2"/>
        <v>หญิง</v>
      </c>
      <c r="G103" t="s">
        <v>557</v>
      </c>
    </row>
    <row r="104" spans="2:7" x14ac:dyDescent="0.35">
      <c r="B104" s="10">
        <v>69002</v>
      </c>
      <c r="C104">
        <v>25</v>
      </c>
      <c r="D104" t="s">
        <v>1166</v>
      </c>
      <c r="E104" t="s">
        <v>1167</v>
      </c>
      <c r="F104" t="str">
        <f t="shared" si="2"/>
        <v>หญิง</v>
      </c>
      <c r="G104" t="s">
        <v>557</v>
      </c>
    </row>
    <row r="105" spans="2:7" x14ac:dyDescent="0.35">
      <c r="B105" s="10">
        <v>69007</v>
      </c>
      <c r="C105">
        <v>1</v>
      </c>
      <c r="D105" t="s">
        <v>1179</v>
      </c>
      <c r="E105" t="s">
        <v>1180</v>
      </c>
      <c r="F105" t="str">
        <f t="shared" ref="F105:F124" si="3">IF(LEFT(D105,3)="นาย","ชาย",IF(LEFT(D105,3)="นาง","หญิง",""))</f>
        <v>ชาย</v>
      </c>
      <c r="G105" t="s">
        <v>557</v>
      </c>
    </row>
    <row r="106" spans="2:7" x14ac:dyDescent="0.35">
      <c r="B106" s="10">
        <v>69007</v>
      </c>
      <c r="C106">
        <v>2</v>
      </c>
      <c r="D106" t="s">
        <v>1181</v>
      </c>
      <c r="E106" t="s">
        <v>1182</v>
      </c>
      <c r="F106" t="str">
        <f t="shared" si="3"/>
        <v>ชาย</v>
      </c>
      <c r="G106" t="s">
        <v>557</v>
      </c>
    </row>
    <row r="107" spans="2:7" x14ac:dyDescent="0.35">
      <c r="B107" s="10">
        <v>69007</v>
      </c>
      <c r="C107">
        <v>3</v>
      </c>
      <c r="D107" t="s">
        <v>1183</v>
      </c>
      <c r="E107" t="s">
        <v>1184</v>
      </c>
      <c r="F107" t="str">
        <f t="shared" si="3"/>
        <v>ชาย</v>
      </c>
      <c r="G107" t="s">
        <v>557</v>
      </c>
    </row>
    <row r="108" spans="2:7" x14ac:dyDescent="0.35">
      <c r="B108" s="10">
        <v>69007</v>
      </c>
      <c r="C108">
        <v>4</v>
      </c>
      <c r="D108" t="s">
        <v>1185</v>
      </c>
      <c r="E108" t="s">
        <v>1186</v>
      </c>
      <c r="F108" t="str">
        <f t="shared" si="3"/>
        <v>ชาย</v>
      </c>
      <c r="G108" t="s">
        <v>557</v>
      </c>
    </row>
    <row r="109" spans="2:7" x14ac:dyDescent="0.35">
      <c r="B109" s="10">
        <v>69007</v>
      </c>
      <c r="C109">
        <v>5</v>
      </c>
      <c r="D109" t="s">
        <v>1187</v>
      </c>
      <c r="E109" t="s">
        <v>1188</v>
      </c>
      <c r="F109" t="str">
        <f t="shared" si="3"/>
        <v>ชาย</v>
      </c>
      <c r="G109" t="s">
        <v>557</v>
      </c>
    </row>
    <row r="110" spans="2:7" x14ac:dyDescent="0.35">
      <c r="B110" s="10">
        <v>69007</v>
      </c>
      <c r="C110">
        <v>6</v>
      </c>
      <c r="D110" t="s">
        <v>1189</v>
      </c>
      <c r="E110" t="s">
        <v>1190</v>
      </c>
      <c r="F110" t="str">
        <f t="shared" si="3"/>
        <v>ชาย</v>
      </c>
      <c r="G110" t="s">
        <v>557</v>
      </c>
    </row>
    <row r="111" spans="2:7" x14ac:dyDescent="0.35">
      <c r="B111" s="10">
        <v>69007</v>
      </c>
      <c r="C111">
        <v>7</v>
      </c>
      <c r="D111" t="s">
        <v>1191</v>
      </c>
      <c r="E111" t="s">
        <v>1192</v>
      </c>
      <c r="F111" t="str">
        <f t="shared" si="3"/>
        <v>ชาย</v>
      </c>
      <c r="G111" t="s">
        <v>557</v>
      </c>
    </row>
    <row r="112" spans="2:7" x14ac:dyDescent="0.35">
      <c r="B112" s="10">
        <v>69007</v>
      </c>
      <c r="C112">
        <v>8</v>
      </c>
      <c r="D112" t="s">
        <v>1193</v>
      </c>
      <c r="E112" t="s">
        <v>1194</v>
      </c>
      <c r="F112" t="str">
        <f t="shared" si="3"/>
        <v>หญิง</v>
      </c>
      <c r="G112" t="s">
        <v>557</v>
      </c>
    </row>
    <row r="113" spans="2:7" x14ac:dyDescent="0.35">
      <c r="B113" s="10">
        <v>69007</v>
      </c>
      <c r="C113">
        <v>9</v>
      </c>
      <c r="D113" t="s">
        <v>1195</v>
      </c>
      <c r="E113" t="s">
        <v>1196</v>
      </c>
      <c r="F113" t="str">
        <f t="shared" si="3"/>
        <v>ชาย</v>
      </c>
      <c r="G113" t="s">
        <v>557</v>
      </c>
    </row>
    <row r="114" spans="2:7" x14ac:dyDescent="0.35">
      <c r="B114" s="10">
        <v>69007</v>
      </c>
      <c r="C114">
        <v>10</v>
      </c>
      <c r="D114" t="s">
        <v>1197</v>
      </c>
      <c r="E114" t="s">
        <v>1198</v>
      </c>
      <c r="F114" t="str">
        <f t="shared" si="3"/>
        <v>ชาย</v>
      </c>
      <c r="G114" t="s">
        <v>557</v>
      </c>
    </row>
    <row r="115" spans="2:7" x14ac:dyDescent="0.35">
      <c r="B115" s="10">
        <v>69007</v>
      </c>
      <c r="C115">
        <v>11</v>
      </c>
      <c r="D115" t="s">
        <v>1199</v>
      </c>
      <c r="E115" t="s">
        <v>1200</v>
      </c>
      <c r="F115" t="str">
        <f t="shared" si="3"/>
        <v>ชาย</v>
      </c>
      <c r="G115" t="s">
        <v>557</v>
      </c>
    </row>
    <row r="116" spans="2:7" x14ac:dyDescent="0.35">
      <c r="B116" s="10">
        <v>69007</v>
      </c>
      <c r="C116">
        <v>12</v>
      </c>
      <c r="D116" t="s">
        <v>1201</v>
      </c>
      <c r="E116" t="s">
        <v>1202</v>
      </c>
      <c r="F116" t="str">
        <f t="shared" si="3"/>
        <v>ชาย</v>
      </c>
      <c r="G116" t="s">
        <v>557</v>
      </c>
    </row>
    <row r="117" spans="2:7" x14ac:dyDescent="0.35">
      <c r="B117" s="10">
        <v>69007</v>
      </c>
      <c r="C117">
        <v>13</v>
      </c>
      <c r="D117" t="s">
        <v>1203</v>
      </c>
      <c r="E117" t="s">
        <v>1204</v>
      </c>
      <c r="F117" t="str">
        <f t="shared" si="3"/>
        <v>ชาย</v>
      </c>
      <c r="G117" t="s">
        <v>557</v>
      </c>
    </row>
    <row r="118" spans="2:7" x14ac:dyDescent="0.35">
      <c r="B118" s="10">
        <v>69007</v>
      </c>
      <c r="C118">
        <v>14</v>
      </c>
      <c r="D118" t="s">
        <v>1205</v>
      </c>
      <c r="E118" t="s">
        <v>1206</v>
      </c>
      <c r="F118" t="str">
        <f t="shared" si="3"/>
        <v>ชาย</v>
      </c>
      <c r="G118" t="s">
        <v>557</v>
      </c>
    </row>
    <row r="119" spans="2:7" x14ac:dyDescent="0.35">
      <c r="B119" s="10">
        <v>69007</v>
      </c>
      <c r="C119">
        <v>15</v>
      </c>
      <c r="D119" t="s">
        <v>1207</v>
      </c>
      <c r="E119" t="s">
        <v>1208</v>
      </c>
      <c r="F119" t="str">
        <f t="shared" si="3"/>
        <v>ชาย</v>
      </c>
      <c r="G119" t="s">
        <v>996</v>
      </c>
    </row>
    <row r="120" spans="2:7" x14ac:dyDescent="0.35">
      <c r="B120" s="10">
        <v>69007</v>
      </c>
      <c r="C120">
        <v>16</v>
      </c>
      <c r="D120" t="s">
        <v>1209</v>
      </c>
      <c r="E120" t="s">
        <v>1210</v>
      </c>
      <c r="F120" t="str">
        <f t="shared" si="3"/>
        <v>ชาย</v>
      </c>
      <c r="G120" t="s">
        <v>557</v>
      </c>
    </row>
    <row r="121" spans="2:7" x14ac:dyDescent="0.35">
      <c r="B121" s="10">
        <v>69007</v>
      </c>
      <c r="C121">
        <v>17</v>
      </c>
      <c r="D121" t="s">
        <v>1211</v>
      </c>
      <c r="E121" t="s">
        <v>1212</v>
      </c>
      <c r="F121" t="str">
        <f t="shared" si="3"/>
        <v>ชาย</v>
      </c>
      <c r="G121" t="s">
        <v>557</v>
      </c>
    </row>
    <row r="122" spans="2:7" x14ac:dyDescent="0.35">
      <c r="B122" s="10">
        <v>69007</v>
      </c>
      <c r="C122">
        <v>18</v>
      </c>
      <c r="D122" t="s">
        <v>1213</v>
      </c>
      <c r="E122" t="s">
        <v>1214</v>
      </c>
      <c r="F122" t="str">
        <f t="shared" si="3"/>
        <v>ชาย</v>
      </c>
      <c r="G122" t="s">
        <v>557</v>
      </c>
    </row>
    <row r="123" spans="2:7" x14ac:dyDescent="0.35">
      <c r="B123" s="10">
        <v>69007</v>
      </c>
      <c r="C123">
        <v>19</v>
      </c>
      <c r="D123" t="s">
        <v>1215</v>
      </c>
      <c r="E123" t="s">
        <v>1216</v>
      </c>
      <c r="F123" t="str">
        <f t="shared" si="3"/>
        <v>ชาย</v>
      </c>
      <c r="G123" t="s">
        <v>557</v>
      </c>
    </row>
    <row r="124" spans="2:7" x14ac:dyDescent="0.35">
      <c r="B124" s="10">
        <v>69007</v>
      </c>
      <c r="C124">
        <v>20</v>
      </c>
      <c r="D124" t="s">
        <v>1217</v>
      </c>
      <c r="E124" t="s">
        <v>1218</v>
      </c>
      <c r="F124" t="str">
        <f t="shared" si="3"/>
        <v>ชาย</v>
      </c>
      <c r="G124" t="s">
        <v>557</v>
      </c>
    </row>
    <row r="125" spans="2:7" x14ac:dyDescent="0.35">
      <c r="B125" s="10">
        <v>69006</v>
      </c>
      <c r="C125">
        <v>1</v>
      </c>
      <c r="D125" t="s">
        <v>1223</v>
      </c>
      <c r="E125" t="s">
        <v>1224</v>
      </c>
      <c r="F125" t="str">
        <f t="shared" ref="F125:F145" si="4">IF(LEFT(D125,3)="นาย","ชาย",IF(LEFT(D125,3)="นาง","หญิง",""))</f>
        <v>หญิง</v>
      </c>
      <c r="G125" t="s">
        <v>557</v>
      </c>
    </row>
    <row r="126" spans="2:7" x14ac:dyDescent="0.35">
      <c r="B126" s="10">
        <v>69006</v>
      </c>
      <c r="C126">
        <v>2</v>
      </c>
      <c r="D126" t="s">
        <v>1225</v>
      </c>
      <c r="E126" t="s">
        <v>1226</v>
      </c>
      <c r="F126" t="str">
        <f t="shared" si="4"/>
        <v>ชาย</v>
      </c>
      <c r="G126" t="s">
        <v>996</v>
      </c>
    </row>
    <row r="127" spans="2:7" x14ac:dyDescent="0.35">
      <c r="B127" s="10">
        <v>69006</v>
      </c>
      <c r="C127">
        <v>3</v>
      </c>
      <c r="D127" t="s">
        <v>1227</v>
      </c>
      <c r="E127" t="s">
        <v>1228</v>
      </c>
      <c r="F127" t="str">
        <f t="shared" si="4"/>
        <v>หญิง</v>
      </c>
      <c r="G127" t="s">
        <v>557</v>
      </c>
    </row>
    <row r="128" spans="2:7" x14ac:dyDescent="0.35">
      <c r="B128" s="10">
        <v>69006</v>
      </c>
      <c r="C128">
        <v>4</v>
      </c>
      <c r="D128" t="s">
        <v>1229</v>
      </c>
      <c r="E128" t="s">
        <v>1230</v>
      </c>
      <c r="F128" t="str">
        <f t="shared" si="4"/>
        <v>หญิง</v>
      </c>
      <c r="G128" t="s">
        <v>996</v>
      </c>
    </row>
    <row r="129" spans="2:7" x14ac:dyDescent="0.35">
      <c r="B129" s="10">
        <v>69006</v>
      </c>
      <c r="C129">
        <v>5</v>
      </c>
      <c r="D129" t="s">
        <v>1231</v>
      </c>
      <c r="E129" t="s">
        <v>1232</v>
      </c>
      <c r="F129" t="str">
        <f t="shared" si="4"/>
        <v>ชาย</v>
      </c>
      <c r="G129" t="s">
        <v>557</v>
      </c>
    </row>
    <row r="130" spans="2:7" x14ac:dyDescent="0.35">
      <c r="B130" s="10">
        <v>69006</v>
      </c>
      <c r="C130">
        <v>6</v>
      </c>
      <c r="D130" t="s">
        <v>1233</v>
      </c>
      <c r="E130" t="s">
        <v>1234</v>
      </c>
      <c r="F130" t="s">
        <v>561</v>
      </c>
      <c r="G130" t="s">
        <v>557</v>
      </c>
    </row>
    <row r="131" spans="2:7" x14ac:dyDescent="0.35">
      <c r="B131" s="10">
        <v>69006</v>
      </c>
      <c r="C131">
        <v>7</v>
      </c>
      <c r="D131" t="s">
        <v>1235</v>
      </c>
      <c r="E131" t="s">
        <v>1236</v>
      </c>
      <c r="F131" t="str">
        <f t="shared" si="4"/>
        <v>ชาย</v>
      </c>
      <c r="G131" t="s">
        <v>557</v>
      </c>
    </row>
    <row r="132" spans="2:7" x14ac:dyDescent="0.35">
      <c r="B132" s="10">
        <v>69006</v>
      </c>
      <c r="C132">
        <v>8</v>
      </c>
      <c r="D132" t="s">
        <v>1237</v>
      </c>
      <c r="E132" t="s">
        <v>1238</v>
      </c>
      <c r="F132" t="str">
        <f t="shared" si="4"/>
        <v>หญิง</v>
      </c>
      <c r="G132" t="s">
        <v>557</v>
      </c>
    </row>
    <row r="133" spans="2:7" x14ac:dyDescent="0.35">
      <c r="B133" s="10">
        <v>69006</v>
      </c>
      <c r="C133">
        <v>9</v>
      </c>
      <c r="D133" t="s">
        <v>1239</v>
      </c>
      <c r="E133" t="s">
        <v>1240</v>
      </c>
      <c r="F133" t="str">
        <f t="shared" si="4"/>
        <v>ชาย</v>
      </c>
      <c r="G133" t="s">
        <v>557</v>
      </c>
    </row>
    <row r="134" spans="2:7" x14ac:dyDescent="0.35">
      <c r="B134" s="10">
        <v>69006</v>
      </c>
      <c r="C134">
        <v>10</v>
      </c>
      <c r="D134" t="s">
        <v>1241</v>
      </c>
      <c r="E134" t="s">
        <v>1242</v>
      </c>
      <c r="F134" t="str">
        <f t="shared" si="4"/>
        <v>ชาย</v>
      </c>
      <c r="G134" t="s">
        <v>996</v>
      </c>
    </row>
    <row r="135" spans="2:7" x14ac:dyDescent="0.35">
      <c r="B135" s="10">
        <v>69006</v>
      </c>
      <c r="C135">
        <v>11</v>
      </c>
      <c r="D135" t="s">
        <v>1243</v>
      </c>
      <c r="E135" t="s">
        <v>1244</v>
      </c>
      <c r="F135" t="str">
        <f t="shared" si="4"/>
        <v>ชาย</v>
      </c>
      <c r="G135" t="s">
        <v>557</v>
      </c>
    </row>
    <row r="136" spans="2:7" x14ac:dyDescent="0.35">
      <c r="B136" s="10">
        <v>69006</v>
      </c>
      <c r="C136">
        <v>12</v>
      </c>
      <c r="D136" t="s">
        <v>1245</v>
      </c>
      <c r="E136" t="s">
        <v>1246</v>
      </c>
      <c r="F136" t="str">
        <f t="shared" si="4"/>
        <v>หญิง</v>
      </c>
      <c r="G136" t="s">
        <v>557</v>
      </c>
    </row>
    <row r="137" spans="2:7" x14ac:dyDescent="0.35">
      <c r="B137" s="10">
        <v>69006</v>
      </c>
      <c r="C137">
        <v>13</v>
      </c>
      <c r="D137" t="s">
        <v>1247</v>
      </c>
      <c r="E137" t="s">
        <v>1248</v>
      </c>
      <c r="F137" t="str">
        <f t="shared" si="4"/>
        <v>ชาย</v>
      </c>
      <c r="G137" t="s">
        <v>996</v>
      </c>
    </row>
    <row r="138" spans="2:7" x14ac:dyDescent="0.35">
      <c r="B138" s="10">
        <v>69006</v>
      </c>
      <c r="C138">
        <v>14</v>
      </c>
      <c r="D138" t="s">
        <v>1249</v>
      </c>
      <c r="E138" t="s">
        <v>1250</v>
      </c>
      <c r="F138" t="str">
        <f t="shared" si="4"/>
        <v>ชาย</v>
      </c>
      <c r="G138" t="s">
        <v>557</v>
      </c>
    </row>
    <row r="139" spans="2:7" x14ac:dyDescent="0.35">
      <c r="B139" s="10">
        <v>69006</v>
      </c>
      <c r="C139">
        <v>15</v>
      </c>
      <c r="D139" t="s">
        <v>1251</v>
      </c>
      <c r="E139" t="s">
        <v>1252</v>
      </c>
      <c r="F139" t="str">
        <f t="shared" si="4"/>
        <v>หญิง</v>
      </c>
      <c r="G139" t="s">
        <v>996</v>
      </c>
    </row>
    <row r="140" spans="2:7" x14ac:dyDescent="0.35">
      <c r="B140" s="10">
        <v>69006</v>
      </c>
      <c r="C140">
        <v>16</v>
      </c>
      <c r="D140" t="s">
        <v>1253</v>
      </c>
      <c r="E140" t="s">
        <v>1254</v>
      </c>
      <c r="F140" t="str">
        <f t="shared" si="4"/>
        <v>ชาย</v>
      </c>
      <c r="G140" t="s">
        <v>557</v>
      </c>
    </row>
    <row r="141" spans="2:7" x14ac:dyDescent="0.35">
      <c r="B141" s="10">
        <v>69006</v>
      </c>
      <c r="C141">
        <v>17</v>
      </c>
      <c r="D141" t="s">
        <v>1255</v>
      </c>
      <c r="E141" t="s">
        <v>1256</v>
      </c>
      <c r="F141" t="str">
        <f t="shared" si="4"/>
        <v>หญิง</v>
      </c>
      <c r="G141" t="s">
        <v>996</v>
      </c>
    </row>
    <row r="142" spans="2:7" x14ac:dyDescent="0.35">
      <c r="B142" s="10">
        <v>69006</v>
      </c>
      <c r="C142">
        <v>18</v>
      </c>
      <c r="D142" t="s">
        <v>1257</v>
      </c>
      <c r="E142" t="s">
        <v>1258</v>
      </c>
      <c r="F142" t="str">
        <f t="shared" si="4"/>
        <v>ชาย</v>
      </c>
      <c r="G142" t="s">
        <v>557</v>
      </c>
    </row>
    <row r="143" spans="2:7" x14ac:dyDescent="0.35">
      <c r="B143" s="10">
        <v>69006</v>
      </c>
      <c r="C143">
        <v>19</v>
      </c>
      <c r="D143" t="s">
        <v>1259</v>
      </c>
      <c r="E143" t="s">
        <v>1260</v>
      </c>
      <c r="F143" t="str">
        <f t="shared" si="4"/>
        <v>ชาย</v>
      </c>
      <c r="G143" t="s">
        <v>557</v>
      </c>
    </row>
    <row r="144" spans="2:7" x14ac:dyDescent="0.35">
      <c r="B144" s="10">
        <v>69006</v>
      </c>
      <c r="C144">
        <v>20</v>
      </c>
      <c r="D144" t="s">
        <v>1261</v>
      </c>
      <c r="E144" t="s">
        <v>1262</v>
      </c>
      <c r="F144" t="str">
        <f t="shared" si="4"/>
        <v>ชาย</v>
      </c>
      <c r="G144" t="s">
        <v>557</v>
      </c>
    </row>
    <row r="145" spans="2:7" x14ac:dyDescent="0.35">
      <c r="B145" s="10">
        <v>69006</v>
      </c>
      <c r="C145">
        <v>21</v>
      </c>
      <c r="D145" t="s">
        <v>1263</v>
      </c>
      <c r="E145" t="s">
        <v>1264</v>
      </c>
      <c r="F145" t="str">
        <f t="shared" si="4"/>
        <v>ชาย</v>
      </c>
      <c r="G145" t="s">
        <v>557</v>
      </c>
    </row>
    <row r="146" spans="2:7" x14ac:dyDescent="0.35">
      <c r="B146" s="10">
        <v>69008</v>
      </c>
      <c r="C146">
        <v>1</v>
      </c>
      <c r="D146" t="s">
        <v>1265</v>
      </c>
      <c r="E146" t="s">
        <v>1266</v>
      </c>
      <c r="F146" t="str">
        <f t="shared" ref="F146:F165" si="5">IF(LEFT(D146,3)="นาย","ชาย",IF(LEFT(D146,3)="นาง","หญิง",""))</f>
        <v>ชาย</v>
      </c>
      <c r="G146" t="s">
        <v>557</v>
      </c>
    </row>
    <row r="147" spans="2:7" x14ac:dyDescent="0.35">
      <c r="B147" s="10">
        <v>69008</v>
      </c>
      <c r="C147">
        <v>2</v>
      </c>
      <c r="D147" t="s">
        <v>1015</v>
      </c>
      <c r="E147" t="s">
        <v>1016</v>
      </c>
      <c r="F147" t="str">
        <f t="shared" si="5"/>
        <v>ชาย</v>
      </c>
      <c r="G147" t="s">
        <v>557</v>
      </c>
    </row>
    <row r="148" spans="2:7" x14ac:dyDescent="0.35">
      <c r="B148" s="10">
        <v>69008</v>
      </c>
      <c r="C148">
        <v>3</v>
      </c>
      <c r="D148" t="s">
        <v>1267</v>
      </c>
      <c r="E148" t="s">
        <v>1268</v>
      </c>
      <c r="F148" t="str">
        <f t="shared" si="5"/>
        <v>ชาย</v>
      </c>
      <c r="G148" t="s">
        <v>557</v>
      </c>
    </row>
    <row r="149" spans="2:7" x14ac:dyDescent="0.35">
      <c r="B149" s="10">
        <v>69008</v>
      </c>
      <c r="C149">
        <v>4</v>
      </c>
      <c r="D149" t="s">
        <v>1269</v>
      </c>
      <c r="E149" t="s">
        <v>1270</v>
      </c>
      <c r="F149" t="str">
        <f t="shared" si="5"/>
        <v>ชาย</v>
      </c>
      <c r="G149" t="s">
        <v>557</v>
      </c>
    </row>
    <row r="150" spans="2:7" x14ac:dyDescent="0.35">
      <c r="B150" s="10">
        <v>69008</v>
      </c>
      <c r="C150">
        <v>5</v>
      </c>
      <c r="D150" t="s">
        <v>1271</v>
      </c>
      <c r="E150" t="s">
        <v>1272</v>
      </c>
      <c r="F150" t="str">
        <f t="shared" si="5"/>
        <v>ชาย</v>
      </c>
      <c r="G150" t="s">
        <v>557</v>
      </c>
    </row>
    <row r="151" spans="2:7" x14ac:dyDescent="0.35">
      <c r="B151" s="10">
        <v>69008</v>
      </c>
      <c r="C151">
        <v>6</v>
      </c>
      <c r="D151" t="s">
        <v>1273</v>
      </c>
      <c r="E151" t="s">
        <v>1274</v>
      </c>
      <c r="F151" t="str">
        <f t="shared" si="5"/>
        <v>ชาย</v>
      </c>
      <c r="G151" t="s">
        <v>557</v>
      </c>
    </row>
    <row r="152" spans="2:7" x14ac:dyDescent="0.35">
      <c r="B152" s="10">
        <v>69008</v>
      </c>
      <c r="C152">
        <v>7</v>
      </c>
      <c r="D152" t="s">
        <v>1275</v>
      </c>
      <c r="E152" t="s">
        <v>1276</v>
      </c>
      <c r="F152" t="str">
        <f t="shared" si="5"/>
        <v>ชาย</v>
      </c>
      <c r="G152" t="s">
        <v>996</v>
      </c>
    </row>
    <row r="153" spans="2:7" x14ac:dyDescent="0.35">
      <c r="B153" s="10">
        <v>69008</v>
      </c>
      <c r="C153">
        <v>8</v>
      </c>
      <c r="D153" t="s">
        <v>1277</v>
      </c>
      <c r="E153" t="s">
        <v>1278</v>
      </c>
      <c r="F153" t="str">
        <f t="shared" si="5"/>
        <v>ชาย</v>
      </c>
      <c r="G153" t="s">
        <v>557</v>
      </c>
    </row>
    <row r="154" spans="2:7" x14ac:dyDescent="0.35">
      <c r="B154" s="10">
        <v>69008</v>
      </c>
      <c r="C154">
        <v>9</v>
      </c>
      <c r="D154" t="s">
        <v>1279</v>
      </c>
      <c r="E154" t="s">
        <v>1280</v>
      </c>
      <c r="F154" t="str">
        <f t="shared" si="5"/>
        <v>ชาย</v>
      </c>
      <c r="G154" t="s">
        <v>557</v>
      </c>
    </row>
    <row r="155" spans="2:7" x14ac:dyDescent="0.35">
      <c r="B155" s="10">
        <v>69008</v>
      </c>
      <c r="C155">
        <v>10</v>
      </c>
      <c r="D155" t="s">
        <v>1281</v>
      </c>
      <c r="E155" t="s">
        <v>1282</v>
      </c>
      <c r="F155" t="str">
        <f t="shared" si="5"/>
        <v>ชาย</v>
      </c>
      <c r="G155" t="s">
        <v>557</v>
      </c>
    </row>
    <row r="156" spans="2:7" x14ac:dyDescent="0.35">
      <c r="B156" s="10">
        <v>69008</v>
      </c>
      <c r="C156">
        <v>11</v>
      </c>
      <c r="D156" t="s">
        <v>1283</v>
      </c>
      <c r="E156" t="s">
        <v>1284</v>
      </c>
      <c r="F156" t="str">
        <f t="shared" si="5"/>
        <v>ชาย</v>
      </c>
      <c r="G156" t="s">
        <v>557</v>
      </c>
    </row>
    <row r="157" spans="2:7" x14ac:dyDescent="0.35">
      <c r="B157" s="10">
        <v>69008</v>
      </c>
      <c r="C157">
        <v>12</v>
      </c>
      <c r="D157" t="s">
        <v>1285</v>
      </c>
      <c r="E157" t="s">
        <v>1286</v>
      </c>
      <c r="F157" t="str">
        <f t="shared" si="5"/>
        <v>ชาย</v>
      </c>
      <c r="G157" t="s">
        <v>557</v>
      </c>
    </row>
    <row r="158" spans="2:7" x14ac:dyDescent="0.35">
      <c r="B158" s="10">
        <v>69008</v>
      </c>
      <c r="C158">
        <v>13</v>
      </c>
      <c r="D158" t="s">
        <v>1287</v>
      </c>
      <c r="E158" t="s">
        <v>1288</v>
      </c>
      <c r="F158" t="str">
        <f t="shared" si="5"/>
        <v>ชาย</v>
      </c>
      <c r="G158" t="s">
        <v>557</v>
      </c>
    </row>
    <row r="159" spans="2:7" x14ac:dyDescent="0.35">
      <c r="B159" s="10">
        <v>69008</v>
      </c>
      <c r="C159">
        <v>14</v>
      </c>
      <c r="D159" t="s">
        <v>1289</v>
      </c>
      <c r="E159" t="s">
        <v>1290</v>
      </c>
      <c r="F159" t="str">
        <f t="shared" si="5"/>
        <v>ชาย</v>
      </c>
      <c r="G159" t="s">
        <v>557</v>
      </c>
    </row>
    <row r="160" spans="2:7" x14ac:dyDescent="0.35">
      <c r="B160" s="10">
        <v>69008</v>
      </c>
      <c r="C160">
        <v>15</v>
      </c>
      <c r="D160" t="s">
        <v>1291</v>
      </c>
      <c r="E160" t="s">
        <v>1292</v>
      </c>
      <c r="F160" t="str">
        <f t="shared" si="5"/>
        <v>ชาย</v>
      </c>
      <c r="G160" t="s">
        <v>557</v>
      </c>
    </row>
    <row r="161" spans="2:7" x14ac:dyDescent="0.35">
      <c r="B161" s="10">
        <v>69008</v>
      </c>
      <c r="C161">
        <v>16</v>
      </c>
      <c r="D161" t="s">
        <v>1293</v>
      </c>
      <c r="E161" t="s">
        <v>1294</v>
      </c>
      <c r="F161" t="str">
        <f t="shared" si="5"/>
        <v>ชาย</v>
      </c>
      <c r="G161" t="s">
        <v>557</v>
      </c>
    </row>
    <row r="162" spans="2:7" x14ac:dyDescent="0.35">
      <c r="B162" s="10">
        <v>69008</v>
      </c>
      <c r="C162">
        <v>17</v>
      </c>
      <c r="D162" t="s">
        <v>1295</v>
      </c>
      <c r="E162" t="s">
        <v>1296</v>
      </c>
      <c r="F162" t="str">
        <f t="shared" si="5"/>
        <v>ชาย</v>
      </c>
      <c r="G162" t="s">
        <v>557</v>
      </c>
    </row>
    <row r="163" spans="2:7" x14ac:dyDescent="0.35">
      <c r="B163" s="10">
        <v>69008</v>
      </c>
      <c r="C163">
        <v>18</v>
      </c>
      <c r="D163" t="s">
        <v>1297</v>
      </c>
      <c r="E163" t="s">
        <v>1298</v>
      </c>
      <c r="F163" t="str">
        <f t="shared" si="5"/>
        <v>ชาย</v>
      </c>
      <c r="G163" t="s">
        <v>557</v>
      </c>
    </row>
    <row r="164" spans="2:7" x14ac:dyDescent="0.35">
      <c r="B164" s="10">
        <v>69008</v>
      </c>
      <c r="C164">
        <v>19</v>
      </c>
      <c r="D164" t="s">
        <v>1299</v>
      </c>
      <c r="E164" t="s">
        <v>1300</v>
      </c>
      <c r="F164" t="str">
        <f t="shared" si="5"/>
        <v>ชาย</v>
      </c>
      <c r="G164" t="s">
        <v>557</v>
      </c>
    </row>
    <row r="165" spans="2:7" x14ac:dyDescent="0.35">
      <c r="B165" s="10">
        <v>69008</v>
      </c>
      <c r="C165">
        <v>20</v>
      </c>
      <c r="D165" t="s">
        <v>1301</v>
      </c>
      <c r="E165" t="s">
        <v>1302</v>
      </c>
      <c r="F165" t="str">
        <f t="shared" si="5"/>
        <v>ชาย</v>
      </c>
      <c r="G165" t="s">
        <v>557</v>
      </c>
    </row>
    <row r="166" spans="2:7" x14ac:dyDescent="0.35">
      <c r="B166" s="10">
        <v>69009</v>
      </c>
      <c r="C166">
        <v>1</v>
      </c>
      <c r="D166" t="s">
        <v>1305</v>
      </c>
      <c r="E166" t="s">
        <v>1306</v>
      </c>
      <c r="F166" t="str">
        <f t="shared" ref="F166:F188" si="6">IF(LEFT(D166,3)="นาย","ชาย",IF(LEFT(D166,3)="นาง","หญิง",""))</f>
        <v>ชาย</v>
      </c>
      <c r="G166" t="s">
        <v>557</v>
      </c>
    </row>
    <row r="167" spans="2:7" x14ac:dyDescent="0.35">
      <c r="B167" s="10">
        <v>69009</v>
      </c>
      <c r="C167">
        <v>2</v>
      </c>
      <c r="D167" t="s">
        <v>1307</v>
      </c>
      <c r="E167" t="s">
        <v>1308</v>
      </c>
      <c r="F167" t="str">
        <f t="shared" si="6"/>
        <v>ชาย</v>
      </c>
      <c r="G167" t="s">
        <v>557</v>
      </c>
    </row>
    <row r="168" spans="2:7" x14ac:dyDescent="0.35">
      <c r="B168" s="10">
        <v>69009</v>
      </c>
      <c r="C168">
        <v>3</v>
      </c>
      <c r="D168" t="s">
        <v>1309</v>
      </c>
      <c r="E168" t="s">
        <v>1310</v>
      </c>
      <c r="F168" t="str">
        <f t="shared" si="6"/>
        <v>ชาย</v>
      </c>
      <c r="G168" t="s">
        <v>557</v>
      </c>
    </row>
    <row r="169" spans="2:7" x14ac:dyDescent="0.35">
      <c r="B169" s="10">
        <v>69009</v>
      </c>
      <c r="C169">
        <v>4</v>
      </c>
      <c r="D169" t="s">
        <v>1311</v>
      </c>
      <c r="E169" t="s">
        <v>1312</v>
      </c>
      <c r="F169" t="str">
        <f t="shared" si="6"/>
        <v>หญิง</v>
      </c>
      <c r="G169" t="s">
        <v>557</v>
      </c>
    </row>
    <row r="170" spans="2:7" x14ac:dyDescent="0.35">
      <c r="B170" s="10">
        <v>69009</v>
      </c>
      <c r="C170">
        <v>5</v>
      </c>
      <c r="D170" t="s">
        <v>1313</v>
      </c>
      <c r="E170" t="s">
        <v>1314</v>
      </c>
      <c r="F170" t="str">
        <f t="shared" si="6"/>
        <v>ชาย</v>
      </c>
      <c r="G170" t="s">
        <v>557</v>
      </c>
    </row>
    <row r="171" spans="2:7" x14ac:dyDescent="0.35">
      <c r="B171" s="10">
        <v>69009</v>
      </c>
      <c r="C171">
        <v>6</v>
      </c>
      <c r="D171" t="s">
        <v>1315</v>
      </c>
      <c r="E171" t="s">
        <v>1316</v>
      </c>
      <c r="F171" t="str">
        <f t="shared" si="6"/>
        <v>ชาย</v>
      </c>
      <c r="G171" t="s">
        <v>557</v>
      </c>
    </row>
    <row r="172" spans="2:7" x14ac:dyDescent="0.35">
      <c r="B172" s="10">
        <v>69009</v>
      </c>
      <c r="C172">
        <v>7</v>
      </c>
      <c r="D172" t="s">
        <v>1317</v>
      </c>
      <c r="E172" t="s">
        <v>1318</v>
      </c>
      <c r="F172" t="str">
        <f t="shared" si="6"/>
        <v>ชาย</v>
      </c>
      <c r="G172" t="s">
        <v>557</v>
      </c>
    </row>
    <row r="173" spans="2:7" x14ac:dyDescent="0.35">
      <c r="B173" s="10">
        <v>69009</v>
      </c>
      <c r="C173">
        <v>8</v>
      </c>
      <c r="D173" t="s">
        <v>1319</v>
      </c>
      <c r="E173" t="s">
        <v>1320</v>
      </c>
      <c r="F173" t="str">
        <f t="shared" si="6"/>
        <v>ชาย</v>
      </c>
      <c r="G173" t="s">
        <v>557</v>
      </c>
    </row>
    <row r="174" spans="2:7" x14ac:dyDescent="0.35">
      <c r="B174" s="10">
        <v>69009</v>
      </c>
      <c r="C174">
        <v>9</v>
      </c>
      <c r="D174" t="s">
        <v>1321</v>
      </c>
      <c r="E174" t="s">
        <v>1322</v>
      </c>
      <c r="F174" t="str">
        <f t="shared" si="6"/>
        <v>ชาย</v>
      </c>
      <c r="G174" t="s">
        <v>557</v>
      </c>
    </row>
    <row r="175" spans="2:7" x14ac:dyDescent="0.35">
      <c r="B175" s="10">
        <v>69009</v>
      </c>
      <c r="C175">
        <v>10</v>
      </c>
      <c r="D175" t="s">
        <v>1323</v>
      </c>
      <c r="E175" t="s">
        <v>1324</v>
      </c>
      <c r="F175" t="str">
        <f t="shared" si="6"/>
        <v>ชาย</v>
      </c>
      <c r="G175" t="s">
        <v>557</v>
      </c>
    </row>
    <row r="176" spans="2:7" x14ac:dyDescent="0.35">
      <c r="B176" s="10">
        <v>69009</v>
      </c>
      <c r="C176">
        <v>11</v>
      </c>
      <c r="D176" t="s">
        <v>1325</v>
      </c>
      <c r="E176" t="s">
        <v>1326</v>
      </c>
      <c r="F176" t="str">
        <f t="shared" si="6"/>
        <v>หญิง</v>
      </c>
      <c r="G176" t="s">
        <v>557</v>
      </c>
    </row>
    <row r="177" spans="2:7" x14ac:dyDescent="0.35">
      <c r="B177" s="10">
        <v>69009</v>
      </c>
      <c r="C177">
        <v>12</v>
      </c>
      <c r="D177" t="s">
        <v>1327</v>
      </c>
      <c r="E177" t="s">
        <v>1328</v>
      </c>
      <c r="F177" t="str">
        <f t="shared" si="6"/>
        <v>ชาย</v>
      </c>
      <c r="G177" t="s">
        <v>557</v>
      </c>
    </row>
    <row r="178" spans="2:7" x14ac:dyDescent="0.35">
      <c r="B178" s="10">
        <v>69009</v>
      </c>
      <c r="C178">
        <v>13</v>
      </c>
      <c r="D178" t="s">
        <v>1329</v>
      </c>
      <c r="E178" t="s">
        <v>1330</v>
      </c>
      <c r="F178" t="str">
        <f t="shared" si="6"/>
        <v>ชาย</v>
      </c>
      <c r="G178" t="s">
        <v>557</v>
      </c>
    </row>
    <row r="179" spans="2:7" x14ac:dyDescent="0.35">
      <c r="B179" s="10">
        <v>69009</v>
      </c>
      <c r="C179">
        <v>14</v>
      </c>
      <c r="D179" t="s">
        <v>1331</v>
      </c>
      <c r="E179" t="s">
        <v>1332</v>
      </c>
      <c r="F179" t="str">
        <f t="shared" si="6"/>
        <v>ชาย</v>
      </c>
      <c r="G179" t="s">
        <v>557</v>
      </c>
    </row>
    <row r="180" spans="2:7" x14ac:dyDescent="0.35">
      <c r="B180" s="10">
        <v>69009</v>
      </c>
      <c r="C180">
        <v>15</v>
      </c>
      <c r="D180" t="s">
        <v>1333</v>
      </c>
      <c r="E180" t="s">
        <v>1322</v>
      </c>
      <c r="F180" t="str">
        <f t="shared" si="6"/>
        <v>ชาย</v>
      </c>
      <c r="G180" t="s">
        <v>557</v>
      </c>
    </row>
    <row r="181" spans="2:7" x14ac:dyDescent="0.35">
      <c r="B181" s="10">
        <v>69009</v>
      </c>
      <c r="C181">
        <v>16</v>
      </c>
      <c r="D181" t="s">
        <v>1334</v>
      </c>
      <c r="E181" t="s">
        <v>1335</v>
      </c>
      <c r="F181" t="str">
        <f t="shared" si="6"/>
        <v>ชาย</v>
      </c>
      <c r="G181" t="s">
        <v>557</v>
      </c>
    </row>
    <row r="182" spans="2:7" x14ac:dyDescent="0.35">
      <c r="B182" s="10">
        <v>69009</v>
      </c>
      <c r="C182">
        <v>17</v>
      </c>
      <c r="D182" t="s">
        <v>1336</v>
      </c>
      <c r="E182" t="s">
        <v>1337</v>
      </c>
      <c r="F182" t="str">
        <f t="shared" si="6"/>
        <v>ชาย</v>
      </c>
      <c r="G182" t="s">
        <v>557</v>
      </c>
    </row>
    <row r="183" spans="2:7" x14ac:dyDescent="0.35">
      <c r="B183" s="10">
        <v>69009</v>
      </c>
      <c r="C183">
        <v>18</v>
      </c>
      <c r="D183" t="s">
        <v>1338</v>
      </c>
      <c r="E183" t="s">
        <v>1339</v>
      </c>
      <c r="F183" t="str">
        <f t="shared" si="6"/>
        <v>ชาย</v>
      </c>
      <c r="G183" t="s">
        <v>557</v>
      </c>
    </row>
    <row r="184" spans="2:7" x14ac:dyDescent="0.35">
      <c r="B184" s="10">
        <v>69009</v>
      </c>
      <c r="C184">
        <v>19</v>
      </c>
      <c r="D184" t="s">
        <v>1340</v>
      </c>
      <c r="E184" t="s">
        <v>1341</v>
      </c>
      <c r="F184" t="str">
        <f t="shared" si="6"/>
        <v>หญิง</v>
      </c>
      <c r="G184" t="s">
        <v>557</v>
      </c>
    </row>
    <row r="185" spans="2:7" x14ac:dyDescent="0.35">
      <c r="B185" s="10">
        <v>69009</v>
      </c>
      <c r="C185">
        <v>20</v>
      </c>
      <c r="D185" t="s">
        <v>1342</v>
      </c>
      <c r="E185" t="s">
        <v>1343</v>
      </c>
      <c r="F185" t="str">
        <f t="shared" si="6"/>
        <v>ชาย</v>
      </c>
      <c r="G185" t="s">
        <v>557</v>
      </c>
    </row>
    <row r="186" spans="2:7" x14ac:dyDescent="0.35">
      <c r="B186" s="10">
        <v>69009</v>
      </c>
      <c r="C186">
        <v>21</v>
      </c>
      <c r="D186" t="s">
        <v>1344</v>
      </c>
      <c r="E186" t="s">
        <v>1345</v>
      </c>
      <c r="F186" t="str">
        <f t="shared" si="6"/>
        <v>ชาย</v>
      </c>
      <c r="G186" t="s">
        <v>557</v>
      </c>
    </row>
    <row r="187" spans="2:7" x14ac:dyDescent="0.35">
      <c r="B187" s="10">
        <v>69009</v>
      </c>
      <c r="C187">
        <v>22</v>
      </c>
      <c r="D187" t="s">
        <v>1346</v>
      </c>
      <c r="E187" t="s">
        <v>1347</v>
      </c>
      <c r="F187" t="str">
        <f t="shared" si="6"/>
        <v>ชาย</v>
      </c>
      <c r="G187" t="s">
        <v>557</v>
      </c>
    </row>
    <row r="188" spans="2:7" x14ac:dyDescent="0.35">
      <c r="B188" s="10">
        <v>69009</v>
      </c>
      <c r="C188">
        <v>23</v>
      </c>
      <c r="D188" t="s">
        <v>1348</v>
      </c>
      <c r="E188" t="s">
        <v>1349</v>
      </c>
      <c r="F188" t="str">
        <f t="shared" si="6"/>
        <v>ชาย</v>
      </c>
      <c r="G188" t="s">
        <v>557</v>
      </c>
    </row>
    <row r="189" spans="2:7" x14ac:dyDescent="0.35">
      <c r="B189" s="10"/>
    </row>
    <row r="190" spans="2:7" x14ac:dyDescent="0.35">
      <c r="B190" s="10"/>
    </row>
    <row r="191" spans="2:7" x14ac:dyDescent="0.35">
      <c r="B191" s="10"/>
    </row>
    <row r="192" spans="2:7" x14ac:dyDescent="0.35">
      <c r="B192" s="10"/>
    </row>
    <row r="193" spans="2:2" x14ac:dyDescent="0.35">
      <c r="B193" s="10"/>
    </row>
    <row r="194" spans="2:2" x14ac:dyDescent="0.35">
      <c r="B194" s="10"/>
    </row>
    <row r="195" spans="2:2" x14ac:dyDescent="0.35">
      <c r="B195" s="10"/>
    </row>
    <row r="196" spans="2:2" x14ac:dyDescent="0.35">
      <c r="B196" s="10"/>
    </row>
    <row r="197" spans="2:2" x14ac:dyDescent="0.35">
      <c r="B197" s="10"/>
    </row>
    <row r="198" spans="2:2" x14ac:dyDescent="0.35">
      <c r="B198" s="10"/>
    </row>
    <row r="199" spans="2:2" x14ac:dyDescent="0.35">
      <c r="B199" s="10"/>
    </row>
    <row r="200" spans="2:2" x14ac:dyDescent="0.35">
      <c r="B200" s="10"/>
    </row>
    <row r="201" spans="2:2" x14ac:dyDescent="0.35">
      <c r="B201" s="10"/>
    </row>
    <row r="202" spans="2:2" x14ac:dyDescent="0.35">
      <c r="B202" s="10"/>
    </row>
    <row r="203" spans="2:2" x14ac:dyDescent="0.35">
      <c r="B203" s="10"/>
    </row>
    <row r="204" spans="2:2" x14ac:dyDescent="0.35">
      <c r="B204" s="10"/>
    </row>
    <row r="205" spans="2:2" x14ac:dyDescent="0.35">
      <c r="B205" s="10"/>
    </row>
    <row r="206" spans="2:2" x14ac:dyDescent="0.35">
      <c r="B206" s="10"/>
    </row>
    <row r="207" spans="2:2" x14ac:dyDescent="0.35">
      <c r="B207" s="10"/>
    </row>
    <row r="208" spans="2:2" x14ac:dyDescent="0.35">
      <c r="B208" s="10"/>
    </row>
    <row r="209" spans="2:2" x14ac:dyDescent="0.35">
      <c r="B209" s="10"/>
    </row>
    <row r="210" spans="2:2" x14ac:dyDescent="0.35">
      <c r="B210" s="10"/>
    </row>
    <row r="211" spans="2:2" x14ac:dyDescent="0.35">
      <c r="B211" s="10"/>
    </row>
    <row r="212" spans="2:2" x14ac:dyDescent="0.35">
      <c r="B212" s="10"/>
    </row>
    <row r="213" spans="2:2" x14ac:dyDescent="0.35">
      <c r="B213" s="10"/>
    </row>
    <row r="214" spans="2:2" x14ac:dyDescent="0.35">
      <c r="B214" s="10"/>
    </row>
    <row r="215" spans="2:2" x14ac:dyDescent="0.35">
      <c r="B215" s="10"/>
    </row>
    <row r="216" spans="2:2" x14ac:dyDescent="0.35">
      <c r="B216" s="10"/>
    </row>
    <row r="217" spans="2:2" x14ac:dyDescent="0.35">
      <c r="B217" s="10"/>
    </row>
    <row r="218" spans="2:2" x14ac:dyDescent="0.35">
      <c r="B218" s="10"/>
    </row>
    <row r="219" spans="2:2" x14ac:dyDescent="0.35">
      <c r="B219" s="10"/>
    </row>
    <row r="220" spans="2:2" x14ac:dyDescent="0.35">
      <c r="B220" s="10"/>
    </row>
    <row r="221" spans="2:2" x14ac:dyDescent="0.35">
      <c r="B221" s="10"/>
    </row>
    <row r="222" spans="2:2" x14ac:dyDescent="0.35">
      <c r="B222" s="10"/>
    </row>
    <row r="223" spans="2:2" x14ac:dyDescent="0.35">
      <c r="B223" s="10"/>
    </row>
    <row r="224" spans="2:2" x14ac:dyDescent="0.35">
      <c r="B224" s="10"/>
    </row>
    <row r="225" spans="2:2" x14ac:dyDescent="0.35">
      <c r="B225" s="10"/>
    </row>
    <row r="226" spans="2:2" x14ac:dyDescent="0.35">
      <c r="B226" s="10"/>
    </row>
    <row r="227" spans="2:2" x14ac:dyDescent="0.35">
      <c r="B227" s="10"/>
    </row>
    <row r="228" spans="2:2" x14ac:dyDescent="0.35">
      <c r="B228" s="10"/>
    </row>
    <row r="229" spans="2:2" x14ac:dyDescent="0.35">
      <c r="B229" s="10"/>
    </row>
    <row r="230" spans="2:2" x14ac:dyDescent="0.35">
      <c r="B230" s="10"/>
    </row>
    <row r="231" spans="2:2" x14ac:dyDescent="0.35">
      <c r="B231" s="10"/>
    </row>
    <row r="232" spans="2:2" x14ac:dyDescent="0.35">
      <c r="B232" s="10"/>
    </row>
    <row r="233" spans="2:2" x14ac:dyDescent="0.35">
      <c r="B233" s="10"/>
    </row>
    <row r="234" spans="2:2" x14ac:dyDescent="0.35">
      <c r="B234" s="10"/>
    </row>
    <row r="235" spans="2:2" x14ac:dyDescent="0.35">
      <c r="B235" s="10"/>
    </row>
    <row r="236" spans="2:2" x14ac:dyDescent="0.35">
      <c r="B236" s="10"/>
    </row>
    <row r="237" spans="2:2" x14ac:dyDescent="0.35">
      <c r="B237" s="10"/>
    </row>
    <row r="238" spans="2:2" x14ac:dyDescent="0.35">
      <c r="B238" s="10"/>
    </row>
    <row r="239" spans="2:2" x14ac:dyDescent="0.35">
      <c r="B239" s="10"/>
    </row>
    <row r="240" spans="2:2" x14ac:dyDescent="0.35">
      <c r="B240" s="10"/>
    </row>
    <row r="241" spans="2:2" x14ac:dyDescent="0.35">
      <c r="B241" s="10"/>
    </row>
    <row r="242" spans="2:2" x14ac:dyDescent="0.35">
      <c r="B242" s="10"/>
    </row>
    <row r="243" spans="2:2" x14ac:dyDescent="0.35">
      <c r="B243" s="10"/>
    </row>
    <row r="244" spans="2:2" x14ac:dyDescent="0.35">
      <c r="B244" s="10"/>
    </row>
    <row r="245" spans="2:2" x14ac:dyDescent="0.35">
      <c r="B245" s="10"/>
    </row>
    <row r="246" spans="2:2" x14ac:dyDescent="0.35">
      <c r="B246" s="10"/>
    </row>
    <row r="247" spans="2:2" x14ac:dyDescent="0.35">
      <c r="B247" s="10"/>
    </row>
    <row r="248" spans="2:2" x14ac:dyDescent="0.35">
      <c r="B248" s="10"/>
    </row>
    <row r="249" spans="2:2" x14ac:dyDescent="0.35">
      <c r="B249" s="10"/>
    </row>
    <row r="250" spans="2:2" x14ac:dyDescent="0.35">
      <c r="B250" s="10"/>
    </row>
    <row r="251" spans="2:2" x14ac:dyDescent="0.35">
      <c r="B251" s="10"/>
    </row>
    <row r="252" spans="2:2" x14ac:dyDescent="0.35">
      <c r="B252" s="10"/>
    </row>
    <row r="253" spans="2:2" x14ac:dyDescent="0.35">
      <c r="B253" s="10"/>
    </row>
    <row r="254" spans="2:2" x14ac:dyDescent="0.35">
      <c r="B254" s="10"/>
    </row>
    <row r="255" spans="2:2" x14ac:dyDescent="0.35">
      <c r="B255" s="10"/>
    </row>
    <row r="256" spans="2:2" x14ac:dyDescent="0.35">
      <c r="B256" s="10"/>
    </row>
    <row r="257" spans="2:2" x14ac:dyDescent="0.35">
      <c r="B257" s="10"/>
    </row>
    <row r="258" spans="2:2" x14ac:dyDescent="0.35">
      <c r="B258" s="10"/>
    </row>
    <row r="259" spans="2:2" x14ac:dyDescent="0.35">
      <c r="B259" s="10"/>
    </row>
    <row r="260" spans="2:2" x14ac:dyDescent="0.35">
      <c r="B260" s="10"/>
    </row>
    <row r="261" spans="2:2" x14ac:dyDescent="0.35">
      <c r="B261" s="10"/>
    </row>
    <row r="262" spans="2:2" x14ac:dyDescent="0.35">
      <c r="B262" s="10"/>
    </row>
    <row r="263" spans="2:2" x14ac:dyDescent="0.35">
      <c r="B263" s="10"/>
    </row>
    <row r="264" spans="2:2" x14ac:dyDescent="0.35">
      <c r="B264" s="10"/>
    </row>
    <row r="265" spans="2:2" x14ac:dyDescent="0.35">
      <c r="B265" s="10"/>
    </row>
    <row r="266" spans="2:2" x14ac:dyDescent="0.35">
      <c r="B266" s="10"/>
    </row>
    <row r="267" spans="2:2" x14ac:dyDescent="0.35">
      <c r="B267" s="10"/>
    </row>
    <row r="268" spans="2:2" x14ac:dyDescent="0.35">
      <c r="B268" s="10"/>
    </row>
    <row r="269" spans="2:2" x14ac:dyDescent="0.35">
      <c r="B269" s="10"/>
    </row>
    <row r="270" spans="2:2" x14ac:dyDescent="0.35">
      <c r="B270" s="10"/>
    </row>
    <row r="271" spans="2:2" x14ac:dyDescent="0.35">
      <c r="B271" s="10"/>
    </row>
    <row r="272" spans="2:2" x14ac:dyDescent="0.35">
      <c r="B272" s="10"/>
    </row>
    <row r="273" spans="2:2" x14ac:dyDescent="0.35">
      <c r="B273" s="10"/>
    </row>
    <row r="274" spans="2:2" x14ac:dyDescent="0.35">
      <c r="B274" s="10"/>
    </row>
    <row r="275" spans="2:2" x14ac:dyDescent="0.35">
      <c r="B275" s="10"/>
    </row>
    <row r="276" spans="2:2" x14ac:dyDescent="0.35">
      <c r="B276" s="10"/>
    </row>
    <row r="277" spans="2:2" x14ac:dyDescent="0.35">
      <c r="B277" s="10"/>
    </row>
    <row r="278" spans="2:2" x14ac:dyDescent="0.35">
      <c r="B278" s="10"/>
    </row>
    <row r="279" spans="2:2" x14ac:dyDescent="0.35">
      <c r="B279" s="10"/>
    </row>
    <row r="280" spans="2:2" x14ac:dyDescent="0.35">
      <c r="B280" s="10"/>
    </row>
    <row r="281" spans="2:2" x14ac:dyDescent="0.35">
      <c r="B281" s="10"/>
    </row>
    <row r="282" spans="2:2" x14ac:dyDescent="0.35">
      <c r="B282" s="10"/>
    </row>
    <row r="283" spans="2:2" x14ac:dyDescent="0.35">
      <c r="B283" s="10"/>
    </row>
    <row r="284" spans="2:2" x14ac:dyDescent="0.35">
      <c r="B284" s="10"/>
    </row>
    <row r="285" spans="2:2" x14ac:dyDescent="0.35">
      <c r="B285" s="10"/>
    </row>
    <row r="286" spans="2:2" x14ac:dyDescent="0.35">
      <c r="B286" s="10"/>
    </row>
    <row r="287" spans="2:2" x14ac:dyDescent="0.35">
      <c r="B287" s="10"/>
    </row>
    <row r="288" spans="2:2" x14ac:dyDescent="0.35">
      <c r="B288" s="10"/>
    </row>
    <row r="289" spans="2:2" x14ac:dyDescent="0.35">
      <c r="B289" s="10"/>
    </row>
    <row r="290" spans="2:2" x14ac:dyDescent="0.35">
      <c r="B290" s="10"/>
    </row>
    <row r="291" spans="2:2" x14ac:dyDescent="0.35">
      <c r="B291" s="10"/>
    </row>
    <row r="292" spans="2:2" x14ac:dyDescent="0.35">
      <c r="B292" s="10"/>
    </row>
    <row r="293" spans="2:2" x14ac:dyDescent="0.35">
      <c r="B293" s="10"/>
    </row>
    <row r="294" spans="2:2" x14ac:dyDescent="0.35">
      <c r="B294" s="10"/>
    </row>
    <row r="295" spans="2:2" x14ac:dyDescent="0.35">
      <c r="B295" s="10"/>
    </row>
    <row r="296" spans="2:2" x14ac:dyDescent="0.35">
      <c r="B296" s="10"/>
    </row>
    <row r="297" spans="2:2" x14ac:dyDescent="0.35">
      <c r="B297" s="10"/>
    </row>
    <row r="298" spans="2:2" x14ac:dyDescent="0.35">
      <c r="B298" s="10"/>
    </row>
    <row r="299" spans="2:2" x14ac:dyDescent="0.35">
      <c r="B299" s="10"/>
    </row>
    <row r="300" spans="2:2" x14ac:dyDescent="0.35">
      <c r="B300" s="10"/>
    </row>
    <row r="301" spans="2:2" x14ac:dyDescent="0.35">
      <c r="B301" s="10"/>
    </row>
    <row r="302" spans="2:2" x14ac:dyDescent="0.35">
      <c r="B302" s="10"/>
    </row>
    <row r="303" spans="2:2" x14ac:dyDescent="0.35">
      <c r="B303" s="10"/>
    </row>
    <row r="304" spans="2:2" x14ac:dyDescent="0.35">
      <c r="B304" s="10"/>
    </row>
    <row r="305" spans="2:2" x14ac:dyDescent="0.35">
      <c r="B305" s="10"/>
    </row>
    <row r="306" spans="2:2" x14ac:dyDescent="0.35">
      <c r="B306" s="10"/>
    </row>
    <row r="307" spans="2:2" x14ac:dyDescent="0.35">
      <c r="B307" s="10"/>
    </row>
    <row r="308" spans="2:2" x14ac:dyDescent="0.35">
      <c r="B308" s="10"/>
    </row>
    <row r="309" spans="2:2" x14ac:dyDescent="0.35">
      <c r="B309" s="10"/>
    </row>
    <row r="310" spans="2:2" x14ac:dyDescent="0.35">
      <c r="B310" s="10"/>
    </row>
    <row r="311" spans="2:2" x14ac:dyDescent="0.35">
      <c r="B311" s="10"/>
    </row>
    <row r="312" spans="2:2" x14ac:dyDescent="0.35">
      <c r="B312" s="10"/>
    </row>
    <row r="313" spans="2:2" x14ac:dyDescent="0.35">
      <c r="B313" s="10"/>
    </row>
    <row r="314" spans="2:2" x14ac:dyDescent="0.35">
      <c r="B314" s="10"/>
    </row>
    <row r="315" spans="2:2" x14ac:dyDescent="0.35">
      <c r="B315" s="10"/>
    </row>
    <row r="316" spans="2:2" x14ac:dyDescent="0.35">
      <c r="B316" s="10"/>
    </row>
    <row r="317" spans="2:2" x14ac:dyDescent="0.35">
      <c r="B317" s="10"/>
    </row>
    <row r="318" spans="2:2" x14ac:dyDescent="0.35">
      <c r="B318" s="10"/>
    </row>
    <row r="319" spans="2:2" x14ac:dyDescent="0.35">
      <c r="B319" s="10"/>
    </row>
    <row r="320" spans="2:2" x14ac:dyDescent="0.35">
      <c r="B320" s="10"/>
    </row>
    <row r="321" spans="2:2" x14ac:dyDescent="0.35">
      <c r="B321" s="10"/>
    </row>
    <row r="322" spans="2:2" x14ac:dyDescent="0.35">
      <c r="B322" s="10"/>
    </row>
    <row r="323" spans="2:2" x14ac:dyDescent="0.35">
      <c r="B323" s="10"/>
    </row>
    <row r="324" spans="2:2" x14ac:dyDescent="0.35">
      <c r="B324" s="10"/>
    </row>
    <row r="325" spans="2:2" x14ac:dyDescent="0.35">
      <c r="B325" s="10"/>
    </row>
    <row r="326" spans="2:2" x14ac:dyDescent="0.35">
      <c r="B326" s="10"/>
    </row>
    <row r="327" spans="2:2" x14ac:dyDescent="0.35">
      <c r="B327" s="10"/>
    </row>
    <row r="328" spans="2:2" x14ac:dyDescent="0.35">
      <c r="B328" s="10"/>
    </row>
    <row r="329" spans="2:2" x14ac:dyDescent="0.35">
      <c r="B329" s="10"/>
    </row>
    <row r="330" spans="2:2" x14ac:dyDescent="0.35">
      <c r="B330" s="10"/>
    </row>
    <row r="331" spans="2:2" x14ac:dyDescent="0.35">
      <c r="B331" s="10"/>
    </row>
    <row r="332" spans="2:2" x14ac:dyDescent="0.35">
      <c r="B332" s="10"/>
    </row>
    <row r="333" spans="2:2" x14ac:dyDescent="0.35">
      <c r="B333" s="10"/>
    </row>
    <row r="334" spans="2:2" x14ac:dyDescent="0.35">
      <c r="B334" s="10"/>
    </row>
    <row r="335" spans="2:2" x14ac:dyDescent="0.35">
      <c r="B335" s="10"/>
    </row>
    <row r="336" spans="2:2" x14ac:dyDescent="0.35">
      <c r="B336" s="10"/>
    </row>
    <row r="337" spans="2:2" x14ac:dyDescent="0.35">
      <c r="B337" s="10"/>
    </row>
    <row r="338" spans="2:2" x14ac:dyDescent="0.35">
      <c r="B338" s="10"/>
    </row>
    <row r="339" spans="2:2" x14ac:dyDescent="0.35">
      <c r="B339" s="10"/>
    </row>
    <row r="340" spans="2:2" x14ac:dyDescent="0.35">
      <c r="B340" s="10"/>
    </row>
    <row r="341" spans="2:2" x14ac:dyDescent="0.35">
      <c r="B341" s="10"/>
    </row>
    <row r="342" spans="2:2" x14ac:dyDescent="0.35">
      <c r="B342" s="10"/>
    </row>
    <row r="343" spans="2:2" x14ac:dyDescent="0.35">
      <c r="B343" s="10"/>
    </row>
    <row r="344" spans="2:2" x14ac:dyDescent="0.35">
      <c r="B344" s="10"/>
    </row>
    <row r="345" spans="2:2" x14ac:dyDescent="0.35">
      <c r="B345" s="10"/>
    </row>
    <row r="346" spans="2:2" x14ac:dyDescent="0.35">
      <c r="B346" s="10"/>
    </row>
    <row r="347" spans="2:2" x14ac:dyDescent="0.35">
      <c r="B347" s="10"/>
    </row>
    <row r="348" spans="2:2" x14ac:dyDescent="0.35">
      <c r="B348" s="10"/>
    </row>
    <row r="349" spans="2:2" x14ac:dyDescent="0.35">
      <c r="B349" s="10"/>
    </row>
    <row r="350" spans="2:2" x14ac:dyDescent="0.35">
      <c r="B350" s="10"/>
    </row>
    <row r="351" spans="2:2" x14ac:dyDescent="0.35">
      <c r="B351" s="10"/>
    </row>
    <row r="352" spans="2:2" x14ac:dyDescent="0.35">
      <c r="B352" s="10"/>
    </row>
    <row r="353" spans="2:2" x14ac:dyDescent="0.35">
      <c r="B353" s="10"/>
    </row>
    <row r="354" spans="2:2" x14ac:dyDescent="0.35">
      <c r="B354" s="10"/>
    </row>
    <row r="355" spans="2:2" x14ac:dyDescent="0.35">
      <c r="B355" s="10"/>
    </row>
    <row r="356" spans="2:2" x14ac:dyDescent="0.35">
      <c r="B356" s="10"/>
    </row>
    <row r="357" spans="2:2" x14ac:dyDescent="0.35">
      <c r="B357" s="10"/>
    </row>
    <row r="358" spans="2:2" x14ac:dyDescent="0.35">
      <c r="B358" s="10"/>
    </row>
    <row r="359" spans="2:2" x14ac:dyDescent="0.35">
      <c r="B359" s="10"/>
    </row>
    <row r="360" spans="2:2" x14ac:dyDescent="0.35">
      <c r="B360" s="10"/>
    </row>
    <row r="361" spans="2:2" x14ac:dyDescent="0.35">
      <c r="B361" s="10"/>
    </row>
    <row r="362" spans="2:2" x14ac:dyDescent="0.35">
      <c r="B362" s="10"/>
    </row>
    <row r="363" spans="2:2" x14ac:dyDescent="0.35">
      <c r="B363" s="10"/>
    </row>
    <row r="364" spans="2:2" x14ac:dyDescent="0.35">
      <c r="B364" s="10"/>
    </row>
    <row r="365" spans="2:2" x14ac:dyDescent="0.35">
      <c r="B365" s="10"/>
    </row>
    <row r="366" spans="2:2" x14ac:dyDescent="0.35">
      <c r="B366" s="10"/>
    </row>
    <row r="367" spans="2:2" x14ac:dyDescent="0.35">
      <c r="B367" s="10"/>
    </row>
    <row r="368" spans="2:2" x14ac:dyDescent="0.35">
      <c r="B368" s="10"/>
    </row>
    <row r="369" spans="2:2" x14ac:dyDescent="0.35">
      <c r="B369" s="10"/>
    </row>
    <row r="370" spans="2:2" x14ac:dyDescent="0.35">
      <c r="B370" s="10"/>
    </row>
    <row r="371" spans="2:2" x14ac:dyDescent="0.35">
      <c r="B371" s="10"/>
    </row>
    <row r="372" spans="2:2" x14ac:dyDescent="0.35">
      <c r="B372" s="10"/>
    </row>
    <row r="373" spans="2:2" x14ac:dyDescent="0.35">
      <c r="B373" s="10"/>
    </row>
    <row r="374" spans="2:2" x14ac:dyDescent="0.35">
      <c r="B374" s="10"/>
    </row>
    <row r="375" spans="2:2" x14ac:dyDescent="0.35">
      <c r="B375" s="10"/>
    </row>
    <row r="376" spans="2:2" x14ac:dyDescent="0.35">
      <c r="B376" s="10"/>
    </row>
    <row r="377" spans="2:2" x14ac:dyDescent="0.35">
      <c r="B377" s="10"/>
    </row>
    <row r="378" spans="2:2" x14ac:dyDescent="0.35">
      <c r="B378" s="10"/>
    </row>
    <row r="379" spans="2:2" x14ac:dyDescent="0.35">
      <c r="B379" s="10"/>
    </row>
    <row r="380" spans="2:2" x14ac:dyDescent="0.35">
      <c r="B380" s="10"/>
    </row>
    <row r="381" spans="2:2" x14ac:dyDescent="0.35">
      <c r="B381" s="10"/>
    </row>
    <row r="382" spans="2:2" x14ac:dyDescent="0.35">
      <c r="B382" s="10"/>
    </row>
    <row r="383" spans="2:2" x14ac:dyDescent="0.35">
      <c r="B383" s="10"/>
    </row>
    <row r="384" spans="2:2" x14ac:dyDescent="0.35">
      <c r="B384" s="10"/>
    </row>
    <row r="385" spans="2:2" x14ac:dyDescent="0.35">
      <c r="B385" s="10"/>
    </row>
    <row r="386" spans="2:2" x14ac:dyDescent="0.35">
      <c r="B386" s="10"/>
    </row>
    <row r="387" spans="2:2" x14ac:dyDescent="0.35">
      <c r="B387" s="10"/>
    </row>
    <row r="388" spans="2:2" x14ac:dyDescent="0.35">
      <c r="B388" s="10"/>
    </row>
    <row r="389" spans="2:2" x14ac:dyDescent="0.35">
      <c r="B389" s="10"/>
    </row>
    <row r="390" spans="2:2" x14ac:dyDescent="0.35">
      <c r="B390" s="10"/>
    </row>
    <row r="391" spans="2:2" x14ac:dyDescent="0.35">
      <c r="B391" s="10"/>
    </row>
    <row r="392" spans="2:2" x14ac:dyDescent="0.35">
      <c r="B392" s="10"/>
    </row>
    <row r="393" spans="2:2" x14ac:dyDescent="0.35">
      <c r="B393" s="10"/>
    </row>
    <row r="394" spans="2:2" x14ac:dyDescent="0.35">
      <c r="B394" s="10"/>
    </row>
    <row r="395" spans="2:2" x14ac:dyDescent="0.35">
      <c r="B395" s="10"/>
    </row>
    <row r="396" spans="2:2" x14ac:dyDescent="0.35">
      <c r="B396" s="10"/>
    </row>
    <row r="397" spans="2:2" x14ac:dyDescent="0.35">
      <c r="B397" s="10"/>
    </row>
    <row r="398" spans="2:2" x14ac:dyDescent="0.35">
      <c r="B398" s="10"/>
    </row>
    <row r="399" spans="2:2" x14ac:dyDescent="0.35">
      <c r="B399" s="10"/>
    </row>
    <row r="400" spans="2:2" x14ac:dyDescent="0.35">
      <c r="B400" s="10"/>
    </row>
    <row r="401" spans="2:2" x14ac:dyDescent="0.35">
      <c r="B401" s="10"/>
    </row>
    <row r="402" spans="2:2" x14ac:dyDescent="0.35">
      <c r="B402" s="10"/>
    </row>
    <row r="403" spans="2:2" x14ac:dyDescent="0.35">
      <c r="B403" s="10"/>
    </row>
    <row r="404" spans="2:2" x14ac:dyDescent="0.35">
      <c r="B404" s="10"/>
    </row>
    <row r="405" spans="2:2" x14ac:dyDescent="0.35">
      <c r="B405" s="10"/>
    </row>
    <row r="406" spans="2:2" x14ac:dyDescent="0.35">
      <c r="B406" s="10"/>
    </row>
    <row r="407" spans="2:2" x14ac:dyDescent="0.35">
      <c r="B407" s="10"/>
    </row>
    <row r="408" spans="2:2" x14ac:dyDescent="0.35">
      <c r="B408" s="10"/>
    </row>
    <row r="409" spans="2:2" x14ac:dyDescent="0.35">
      <c r="B409" s="10"/>
    </row>
    <row r="410" spans="2:2" x14ac:dyDescent="0.35">
      <c r="B410" s="10"/>
    </row>
    <row r="411" spans="2:2" x14ac:dyDescent="0.35">
      <c r="B411" s="10"/>
    </row>
    <row r="412" spans="2:2" x14ac:dyDescent="0.35">
      <c r="B412" s="10"/>
    </row>
    <row r="413" spans="2:2" x14ac:dyDescent="0.35">
      <c r="B413" s="10"/>
    </row>
    <row r="414" spans="2:2" x14ac:dyDescent="0.35">
      <c r="B414" s="10"/>
    </row>
    <row r="415" spans="2:2" x14ac:dyDescent="0.35">
      <c r="B415" s="10"/>
    </row>
    <row r="416" spans="2:2" x14ac:dyDescent="0.35">
      <c r="B416" s="10"/>
    </row>
    <row r="417" spans="2:2" x14ac:dyDescent="0.35">
      <c r="B417" s="10"/>
    </row>
    <row r="418" spans="2:2" x14ac:dyDescent="0.35">
      <c r="B418" s="10"/>
    </row>
    <row r="419" spans="2:2" x14ac:dyDescent="0.35">
      <c r="B419" s="10"/>
    </row>
    <row r="420" spans="2:2" x14ac:dyDescent="0.35">
      <c r="B420" s="10"/>
    </row>
    <row r="421" spans="2:2" x14ac:dyDescent="0.35">
      <c r="B421" s="10"/>
    </row>
    <row r="422" spans="2:2" x14ac:dyDescent="0.35">
      <c r="B422" s="10"/>
    </row>
    <row r="423" spans="2:2" x14ac:dyDescent="0.35">
      <c r="B423" s="10"/>
    </row>
    <row r="424" spans="2:2" x14ac:dyDescent="0.35">
      <c r="B424" s="10"/>
    </row>
    <row r="425" spans="2:2" x14ac:dyDescent="0.35">
      <c r="B425" s="10"/>
    </row>
    <row r="426" spans="2:2" x14ac:dyDescent="0.35">
      <c r="B426" s="10"/>
    </row>
    <row r="427" spans="2:2" x14ac:dyDescent="0.35">
      <c r="B427" s="10"/>
    </row>
    <row r="428" spans="2:2" x14ac:dyDescent="0.35">
      <c r="B428" s="10"/>
    </row>
    <row r="429" spans="2:2" x14ac:dyDescent="0.35">
      <c r="B429" s="10"/>
    </row>
    <row r="430" spans="2:2" x14ac:dyDescent="0.35">
      <c r="B430" s="10"/>
    </row>
    <row r="431" spans="2:2" x14ac:dyDescent="0.35">
      <c r="B431" s="10"/>
    </row>
    <row r="432" spans="2:2" x14ac:dyDescent="0.35">
      <c r="B432" s="10"/>
    </row>
    <row r="433" spans="2:2" x14ac:dyDescent="0.35">
      <c r="B433" s="10"/>
    </row>
    <row r="434" spans="2:2" x14ac:dyDescent="0.35">
      <c r="B434" s="10"/>
    </row>
    <row r="435" spans="2:2" x14ac:dyDescent="0.35">
      <c r="B435" s="10"/>
    </row>
    <row r="436" spans="2:2" x14ac:dyDescent="0.35">
      <c r="B436" s="10"/>
    </row>
    <row r="437" spans="2:2" x14ac:dyDescent="0.35">
      <c r="B437" s="10"/>
    </row>
    <row r="438" spans="2:2" x14ac:dyDescent="0.35">
      <c r="B438" s="10"/>
    </row>
    <row r="439" spans="2:2" x14ac:dyDescent="0.35">
      <c r="B439" s="10"/>
    </row>
    <row r="440" spans="2:2" x14ac:dyDescent="0.35">
      <c r="B440" s="10"/>
    </row>
    <row r="441" spans="2:2" x14ac:dyDescent="0.35">
      <c r="B441" s="10"/>
    </row>
    <row r="442" spans="2:2" x14ac:dyDescent="0.35">
      <c r="B442" s="10"/>
    </row>
    <row r="443" spans="2:2" x14ac:dyDescent="0.35">
      <c r="B443" s="10"/>
    </row>
    <row r="444" spans="2:2" x14ac:dyDescent="0.35">
      <c r="B444" s="10"/>
    </row>
    <row r="445" spans="2:2" x14ac:dyDescent="0.35">
      <c r="B445" s="10"/>
    </row>
    <row r="446" spans="2:2" x14ac:dyDescent="0.35">
      <c r="B446" s="10"/>
    </row>
    <row r="447" spans="2:2" x14ac:dyDescent="0.35">
      <c r="B447" s="10"/>
    </row>
    <row r="448" spans="2:2" x14ac:dyDescent="0.35">
      <c r="B448" s="10"/>
    </row>
    <row r="449" spans="2:2" x14ac:dyDescent="0.35">
      <c r="B449" s="10"/>
    </row>
    <row r="450" spans="2:2" x14ac:dyDescent="0.35">
      <c r="B450" s="10"/>
    </row>
    <row r="451" spans="2:2" x14ac:dyDescent="0.35">
      <c r="B451" s="10"/>
    </row>
    <row r="452" spans="2:2" x14ac:dyDescent="0.35">
      <c r="B452" s="10"/>
    </row>
    <row r="453" spans="2:2" x14ac:dyDescent="0.35">
      <c r="B453" s="10"/>
    </row>
    <row r="454" spans="2:2" x14ac:dyDescent="0.35">
      <c r="B454" s="10"/>
    </row>
    <row r="455" spans="2:2" x14ac:dyDescent="0.35">
      <c r="B455" s="10"/>
    </row>
    <row r="456" spans="2:2" x14ac:dyDescent="0.35">
      <c r="B456" s="10"/>
    </row>
    <row r="457" spans="2:2" x14ac:dyDescent="0.35">
      <c r="B457" s="10"/>
    </row>
    <row r="458" spans="2:2" x14ac:dyDescent="0.35">
      <c r="B458" s="10"/>
    </row>
    <row r="459" spans="2:2" x14ac:dyDescent="0.35">
      <c r="B459" s="10"/>
    </row>
    <row r="460" spans="2:2" x14ac:dyDescent="0.35">
      <c r="B460" s="10"/>
    </row>
    <row r="461" spans="2:2" x14ac:dyDescent="0.35">
      <c r="B461" s="10"/>
    </row>
    <row r="462" spans="2:2" x14ac:dyDescent="0.35">
      <c r="B462" s="10"/>
    </row>
    <row r="463" spans="2:2" x14ac:dyDescent="0.35">
      <c r="B463" s="10"/>
    </row>
    <row r="464" spans="2:2" x14ac:dyDescent="0.35">
      <c r="B464" s="10"/>
    </row>
    <row r="465" spans="2:2" x14ac:dyDescent="0.35">
      <c r="B465" s="10"/>
    </row>
    <row r="466" spans="2:2" x14ac:dyDescent="0.35">
      <c r="B466" s="10"/>
    </row>
    <row r="467" spans="2:2" x14ac:dyDescent="0.35">
      <c r="B467" s="10"/>
    </row>
    <row r="468" spans="2:2" x14ac:dyDescent="0.35">
      <c r="B468" s="10"/>
    </row>
    <row r="469" spans="2:2" x14ac:dyDescent="0.35">
      <c r="B469" s="10"/>
    </row>
    <row r="470" spans="2:2" x14ac:dyDescent="0.35">
      <c r="B470" s="10"/>
    </row>
    <row r="471" spans="2:2" x14ac:dyDescent="0.35">
      <c r="B471" s="10"/>
    </row>
    <row r="472" spans="2:2" x14ac:dyDescent="0.35">
      <c r="B472" s="10"/>
    </row>
    <row r="473" spans="2:2" x14ac:dyDescent="0.35">
      <c r="B473" s="10"/>
    </row>
    <row r="474" spans="2:2" x14ac:dyDescent="0.35">
      <c r="B474" s="10"/>
    </row>
    <row r="475" spans="2:2" x14ac:dyDescent="0.35">
      <c r="B475" s="10"/>
    </row>
    <row r="476" spans="2:2" x14ac:dyDescent="0.35">
      <c r="B476" s="10"/>
    </row>
    <row r="477" spans="2:2" x14ac:dyDescent="0.35">
      <c r="B477" s="10"/>
    </row>
    <row r="478" spans="2:2" x14ac:dyDescent="0.35">
      <c r="B478" s="10"/>
    </row>
    <row r="479" spans="2:2" x14ac:dyDescent="0.35">
      <c r="B479" s="10"/>
    </row>
    <row r="480" spans="2:2" x14ac:dyDescent="0.35">
      <c r="B480" s="10"/>
    </row>
    <row r="481" spans="2:2" x14ac:dyDescent="0.35">
      <c r="B481" s="10"/>
    </row>
    <row r="482" spans="2:2" x14ac:dyDescent="0.35">
      <c r="B482" s="10"/>
    </row>
    <row r="483" spans="2:2" x14ac:dyDescent="0.35">
      <c r="B483" s="10"/>
    </row>
    <row r="484" spans="2:2" x14ac:dyDescent="0.35">
      <c r="B484" s="10"/>
    </row>
    <row r="485" spans="2:2" x14ac:dyDescent="0.35">
      <c r="B485" s="10"/>
    </row>
    <row r="486" spans="2:2" x14ac:dyDescent="0.35">
      <c r="B486" s="10"/>
    </row>
    <row r="487" spans="2:2" x14ac:dyDescent="0.35">
      <c r="B487" s="10"/>
    </row>
    <row r="488" spans="2:2" x14ac:dyDescent="0.35">
      <c r="B488" s="10"/>
    </row>
    <row r="489" spans="2:2" x14ac:dyDescent="0.35">
      <c r="B489" s="10"/>
    </row>
    <row r="490" spans="2:2" x14ac:dyDescent="0.35">
      <c r="B490" s="10"/>
    </row>
    <row r="491" spans="2:2" x14ac:dyDescent="0.35">
      <c r="B491" s="10"/>
    </row>
    <row r="492" spans="2:2" x14ac:dyDescent="0.35">
      <c r="B492" s="10"/>
    </row>
    <row r="493" spans="2:2" x14ac:dyDescent="0.35">
      <c r="B493" s="10"/>
    </row>
    <row r="494" spans="2:2" x14ac:dyDescent="0.35">
      <c r="B494" s="10"/>
    </row>
    <row r="495" spans="2:2" x14ac:dyDescent="0.35">
      <c r="B495" s="10"/>
    </row>
    <row r="496" spans="2:2" x14ac:dyDescent="0.35">
      <c r="B496" s="10"/>
    </row>
    <row r="497" spans="2:2" x14ac:dyDescent="0.35">
      <c r="B497" s="10"/>
    </row>
    <row r="498" spans="2:2" x14ac:dyDescent="0.35">
      <c r="B498" s="10"/>
    </row>
    <row r="499" spans="2:2" x14ac:dyDescent="0.35">
      <c r="B499" s="10"/>
    </row>
    <row r="500" spans="2:2" x14ac:dyDescent="0.35">
      <c r="B500" s="10"/>
    </row>
    <row r="501" spans="2:2" x14ac:dyDescent="0.35">
      <c r="B501" s="10"/>
    </row>
    <row r="502" spans="2:2" x14ac:dyDescent="0.35">
      <c r="B502" s="10"/>
    </row>
    <row r="503" spans="2:2" x14ac:dyDescent="0.35">
      <c r="B503" s="10"/>
    </row>
    <row r="504" spans="2:2" x14ac:dyDescent="0.35">
      <c r="B504" s="10"/>
    </row>
    <row r="505" spans="2:2" x14ac:dyDescent="0.35">
      <c r="B505" s="10"/>
    </row>
    <row r="506" spans="2:2" x14ac:dyDescent="0.35">
      <c r="B506" s="10"/>
    </row>
    <row r="507" spans="2:2" x14ac:dyDescent="0.35">
      <c r="B507" s="10"/>
    </row>
    <row r="508" spans="2:2" x14ac:dyDescent="0.35">
      <c r="B508" s="10"/>
    </row>
    <row r="509" spans="2:2" x14ac:dyDescent="0.35">
      <c r="B509" s="10"/>
    </row>
    <row r="510" spans="2:2" x14ac:dyDescent="0.35">
      <c r="B510" s="10"/>
    </row>
    <row r="511" spans="2:2" x14ac:dyDescent="0.35">
      <c r="B511" s="10"/>
    </row>
    <row r="512" spans="2:2" x14ac:dyDescent="0.35">
      <c r="B512" s="10"/>
    </row>
    <row r="513" spans="2:2" x14ac:dyDescent="0.35">
      <c r="B513" s="10"/>
    </row>
    <row r="514" spans="2:2" x14ac:dyDescent="0.35">
      <c r="B514" s="10"/>
    </row>
    <row r="515" spans="2:2" x14ac:dyDescent="0.35">
      <c r="B515" s="10"/>
    </row>
    <row r="516" spans="2:2" x14ac:dyDescent="0.35">
      <c r="B516" s="10"/>
    </row>
    <row r="517" spans="2:2" x14ac:dyDescent="0.35">
      <c r="B517" s="10"/>
    </row>
    <row r="518" spans="2:2" x14ac:dyDescent="0.35">
      <c r="B518" s="10"/>
    </row>
    <row r="519" spans="2:2" x14ac:dyDescent="0.35">
      <c r="B519" s="10"/>
    </row>
    <row r="520" spans="2:2" x14ac:dyDescent="0.35">
      <c r="B520" s="10"/>
    </row>
    <row r="521" spans="2:2" x14ac:dyDescent="0.35">
      <c r="B521" s="10"/>
    </row>
    <row r="522" spans="2:2" x14ac:dyDescent="0.35">
      <c r="B522" s="10"/>
    </row>
    <row r="523" spans="2:2" x14ac:dyDescent="0.35">
      <c r="B523" s="10"/>
    </row>
    <row r="524" spans="2:2" x14ac:dyDescent="0.35">
      <c r="B524" s="10"/>
    </row>
    <row r="525" spans="2:2" x14ac:dyDescent="0.35">
      <c r="B525" s="10"/>
    </row>
    <row r="526" spans="2:2" x14ac:dyDescent="0.35">
      <c r="B526" s="10"/>
    </row>
    <row r="527" spans="2:2" x14ac:dyDescent="0.35">
      <c r="B527" s="10"/>
    </row>
    <row r="528" spans="2:2" x14ac:dyDescent="0.35">
      <c r="B528" s="10"/>
    </row>
    <row r="529" spans="2:2" x14ac:dyDescent="0.35">
      <c r="B529" s="10"/>
    </row>
    <row r="530" spans="2:2" x14ac:dyDescent="0.35">
      <c r="B530" s="10"/>
    </row>
    <row r="531" spans="2:2" x14ac:dyDescent="0.35">
      <c r="B531" s="10"/>
    </row>
    <row r="532" spans="2:2" x14ac:dyDescent="0.35">
      <c r="B532" s="10"/>
    </row>
    <row r="533" spans="2:2" x14ac:dyDescent="0.35">
      <c r="B533" s="10"/>
    </row>
    <row r="534" spans="2:2" x14ac:dyDescent="0.35">
      <c r="B534" s="10"/>
    </row>
    <row r="535" spans="2:2" x14ac:dyDescent="0.35">
      <c r="B535" s="10"/>
    </row>
    <row r="536" spans="2:2" x14ac:dyDescent="0.35">
      <c r="B536" s="10"/>
    </row>
    <row r="537" spans="2:2" x14ac:dyDescent="0.35">
      <c r="B537" s="10"/>
    </row>
    <row r="538" spans="2:2" x14ac:dyDescent="0.35">
      <c r="B538" s="10"/>
    </row>
    <row r="539" spans="2:2" x14ac:dyDescent="0.35">
      <c r="B539" s="10"/>
    </row>
    <row r="540" spans="2:2" x14ac:dyDescent="0.35">
      <c r="B540" s="10"/>
    </row>
    <row r="541" spans="2:2" x14ac:dyDescent="0.35">
      <c r="B541" s="10"/>
    </row>
    <row r="542" spans="2:2" x14ac:dyDescent="0.35">
      <c r="B542" s="10"/>
    </row>
    <row r="543" spans="2:2" x14ac:dyDescent="0.35">
      <c r="B543" s="10"/>
    </row>
    <row r="544" spans="2:2" x14ac:dyDescent="0.35">
      <c r="B544" s="10"/>
    </row>
    <row r="545" spans="2:2" x14ac:dyDescent="0.35">
      <c r="B545" s="10"/>
    </row>
    <row r="546" spans="2:2" x14ac:dyDescent="0.35">
      <c r="B546" s="10"/>
    </row>
    <row r="547" spans="2:2" x14ac:dyDescent="0.35">
      <c r="B547" s="10"/>
    </row>
    <row r="548" spans="2:2" x14ac:dyDescent="0.35">
      <c r="B548" s="10"/>
    </row>
    <row r="549" spans="2:2" x14ac:dyDescent="0.35">
      <c r="B549" s="10"/>
    </row>
    <row r="550" spans="2:2" x14ac:dyDescent="0.35">
      <c r="B550" s="10"/>
    </row>
    <row r="551" spans="2:2" x14ac:dyDescent="0.35">
      <c r="B551" s="10"/>
    </row>
    <row r="552" spans="2:2" x14ac:dyDescent="0.35">
      <c r="B552" s="10"/>
    </row>
    <row r="553" spans="2:2" x14ac:dyDescent="0.35">
      <c r="B553" s="10"/>
    </row>
    <row r="554" spans="2:2" x14ac:dyDescent="0.35">
      <c r="B554" s="10"/>
    </row>
    <row r="555" spans="2:2" x14ac:dyDescent="0.35">
      <c r="B555" s="10"/>
    </row>
    <row r="556" spans="2:2" x14ac:dyDescent="0.35">
      <c r="B556" s="10"/>
    </row>
    <row r="557" spans="2:2" x14ac:dyDescent="0.35">
      <c r="B557" s="10"/>
    </row>
    <row r="558" spans="2:2" x14ac:dyDescent="0.35">
      <c r="B558" s="10"/>
    </row>
    <row r="559" spans="2:2" x14ac:dyDescent="0.35">
      <c r="B559" s="10"/>
    </row>
    <row r="560" spans="2:2" x14ac:dyDescent="0.35">
      <c r="B560" s="10"/>
    </row>
    <row r="561" spans="2:2" x14ac:dyDescent="0.35">
      <c r="B561" s="10"/>
    </row>
    <row r="562" spans="2:2" x14ac:dyDescent="0.35">
      <c r="B562" s="10"/>
    </row>
    <row r="563" spans="2:2" x14ac:dyDescent="0.35">
      <c r="B563" s="10"/>
    </row>
    <row r="564" spans="2:2" x14ac:dyDescent="0.35">
      <c r="B564" s="10"/>
    </row>
    <row r="565" spans="2:2" x14ac:dyDescent="0.35">
      <c r="B565" s="10"/>
    </row>
    <row r="566" spans="2:2" x14ac:dyDescent="0.35">
      <c r="B566" s="10"/>
    </row>
    <row r="567" spans="2:2" x14ac:dyDescent="0.35">
      <c r="B567" s="10"/>
    </row>
    <row r="568" spans="2:2" x14ac:dyDescent="0.35">
      <c r="B568" s="10"/>
    </row>
    <row r="569" spans="2:2" x14ac:dyDescent="0.35">
      <c r="B569" s="10"/>
    </row>
    <row r="570" spans="2:2" x14ac:dyDescent="0.35">
      <c r="B570" s="10"/>
    </row>
    <row r="571" spans="2:2" x14ac:dyDescent="0.35">
      <c r="B571" s="10"/>
    </row>
    <row r="572" spans="2:2" x14ac:dyDescent="0.35">
      <c r="B572" s="10"/>
    </row>
    <row r="573" spans="2:2" x14ac:dyDescent="0.35">
      <c r="B573" s="10"/>
    </row>
    <row r="574" spans="2:2" x14ac:dyDescent="0.35">
      <c r="B574" s="10"/>
    </row>
    <row r="575" spans="2:2" x14ac:dyDescent="0.35">
      <c r="B575" s="10"/>
    </row>
    <row r="576" spans="2:2" x14ac:dyDescent="0.35">
      <c r="B576" s="10"/>
    </row>
    <row r="577" spans="2:6" x14ac:dyDescent="0.35">
      <c r="B577" s="10"/>
    </row>
    <row r="578" spans="2:6" x14ac:dyDescent="0.35">
      <c r="B578" s="10"/>
    </row>
    <row r="579" spans="2:6" x14ac:dyDescent="0.35">
      <c r="B579" s="10"/>
    </row>
    <row r="580" spans="2:6" x14ac:dyDescent="0.35">
      <c r="B580" s="10"/>
    </row>
    <row r="581" spans="2:6" x14ac:dyDescent="0.35">
      <c r="B581" s="10"/>
    </row>
    <row r="582" spans="2:6" x14ac:dyDescent="0.35">
      <c r="B582" s="10"/>
    </row>
    <row r="583" spans="2:6" x14ac:dyDescent="0.35">
      <c r="B583" s="10"/>
    </row>
    <row r="584" spans="2:6" x14ac:dyDescent="0.35">
      <c r="B584" s="10"/>
    </row>
    <row r="585" spans="2:6" x14ac:dyDescent="0.35">
      <c r="B585" s="10"/>
    </row>
    <row r="586" spans="2:6" x14ac:dyDescent="0.35">
      <c r="B586" s="10"/>
    </row>
    <row r="587" spans="2:6" x14ac:dyDescent="0.35">
      <c r="B587" s="10"/>
    </row>
    <row r="588" spans="2:6" x14ac:dyDescent="0.35">
      <c r="B588" s="10"/>
    </row>
    <row r="589" spans="2:6" x14ac:dyDescent="0.35">
      <c r="B589" s="10"/>
      <c r="F589" t="str">
        <f t="shared" ref="F589:F641" si="7">IF(LEFT(D589,3)="นาย","ชาย",IF(LEFT(D589,3)="นาง","หญิง",""))</f>
        <v/>
      </c>
    </row>
    <row r="590" spans="2:6" x14ac:dyDescent="0.35">
      <c r="B590" s="10"/>
      <c r="F590" t="str">
        <f t="shared" si="7"/>
        <v/>
      </c>
    </row>
    <row r="591" spans="2:6" x14ac:dyDescent="0.35">
      <c r="B591" s="10"/>
      <c r="F591" t="str">
        <f t="shared" si="7"/>
        <v/>
      </c>
    </row>
    <row r="592" spans="2:6" x14ac:dyDescent="0.35">
      <c r="B592" s="10"/>
      <c r="F592" t="str">
        <f t="shared" si="7"/>
        <v/>
      </c>
    </row>
    <row r="593" spans="2:6" x14ac:dyDescent="0.35">
      <c r="B593" s="10"/>
      <c r="F593" t="str">
        <f t="shared" si="7"/>
        <v/>
      </c>
    </row>
    <row r="594" spans="2:6" x14ac:dyDescent="0.35">
      <c r="B594" s="10"/>
      <c r="F594" t="str">
        <f t="shared" si="7"/>
        <v/>
      </c>
    </row>
    <row r="595" spans="2:6" x14ac:dyDescent="0.35">
      <c r="B595" s="10"/>
      <c r="F595" t="str">
        <f t="shared" si="7"/>
        <v/>
      </c>
    </row>
    <row r="596" spans="2:6" x14ac:dyDescent="0.35">
      <c r="B596" s="10"/>
      <c r="F596" t="str">
        <f t="shared" si="7"/>
        <v/>
      </c>
    </row>
    <row r="597" spans="2:6" x14ac:dyDescent="0.35">
      <c r="B597" s="10"/>
      <c r="F597" t="str">
        <f t="shared" si="7"/>
        <v/>
      </c>
    </row>
    <row r="598" spans="2:6" x14ac:dyDescent="0.35">
      <c r="B598" s="10"/>
      <c r="F598" t="str">
        <f t="shared" si="7"/>
        <v/>
      </c>
    </row>
    <row r="599" spans="2:6" x14ac:dyDescent="0.35">
      <c r="B599" s="10"/>
      <c r="F599" t="str">
        <f t="shared" si="7"/>
        <v/>
      </c>
    </row>
    <row r="600" spans="2:6" x14ac:dyDescent="0.35">
      <c r="B600" s="10"/>
      <c r="F600" t="str">
        <f t="shared" si="7"/>
        <v/>
      </c>
    </row>
    <row r="601" spans="2:6" x14ac:dyDescent="0.35">
      <c r="B601" s="10"/>
      <c r="F601" t="str">
        <f t="shared" si="7"/>
        <v/>
      </c>
    </row>
    <row r="602" spans="2:6" x14ac:dyDescent="0.35">
      <c r="B602" s="10"/>
      <c r="F602" t="str">
        <f t="shared" si="7"/>
        <v/>
      </c>
    </row>
    <row r="603" spans="2:6" x14ac:dyDescent="0.35">
      <c r="B603" s="10"/>
      <c r="F603" t="str">
        <f t="shared" si="7"/>
        <v/>
      </c>
    </row>
    <row r="604" spans="2:6" x14ac:dyDescent="0.35">
      <c r="B604" s="10"/>
      <c r="F604" t="str">
        <f t="shared" si="7"/>
        <v/>
      </c>
    </row>
    <row r="605" spans="2:6" x14ac:dyDescent="0.35">
      <c r="B605" s="10"/>
      <c r="F605" t="str">
        <f t="shared" si="7"/>
        <v/>
      </c>
    </row>
    <row r="606" spans="2:6" x14ac:dyDescent="0.35">
      <c r="B606" s="10"/>
      <c r="F606" t="str">
        <f t="shared" si="7"/>
        <v/>
      </c>
    </row>
    <row r="607" spans="2:6" x14ac:dyDescent="0.35">
      <c r="B607" s="10"/>
      <c r="F607" t="str">
        <f t="shared" si="7"/>
        <v/>
      </c>
    </row>
    <row r="608" spans="2:6" x14ac:dyDescent="0.35">
      <c r="B608" s="10"/>
      <c r="F608" t="str">
        <f t="shared" si="7"/>
        <v/>
      </c>
    </row>
    <row r="609" spans="2:6" x14ac:dyDescent="0.35">
      <c r="B609" s="10"/>
      <c r="F609" t="str">
        <f t="shared" si="7"/>
        <v/>
      </c>
    </row>
    <row r="610" spans="2:6" x14ac:dyDescent="0.35">
      <c r="B610" s="10"/>
      <c r="F610" t="str">
        <f t="shared" si="7"/>
        <v/>
      </c>
    </row>
    <row r="611" spans="2:6" x14ac:dyDescent="0.35">
      <c r="B611" s="10"/>
      <c r="F611" t="str">
        <f t="shared" si="7"/>
        <v/>
      </c>
    </row>
    <row r="612" spans="2:6" x14ac:dyDescent="0.35">
      <c r="B612" s="10"/>
      <c r="F612" t="str">
        <f t="shared" si="7"/>
        <v/>
      </c>
    </row>
    <row r="613" spans="2:6" x14ac:dyDescent="0.35">
      <c r="B613" s="10"/>
      <c r="F613" t="str">
        <f t="shared" si="7"/>
        <v/>
      </c>
    </row>
    <row r="614" spans="2:6" x14ac:dyDescent="0.35">
      <c r="B614" s="10"/>
      <c r="F614" t="str">
        <f t="shared" si="7"/>
        <v/>
      </c>
    </row>
    <row r="615" spans="2:6" x14ac:dyDescent="0.35">
      <c r="B615" s="10"/>
      <c r="F615" t="str">
        <f t="shared" si="7"/>
        <v/>
      </c>
    </row>
    <row r="616" spans="2:6" x14ac:dyDescent="0.35">
      <c r="B616" s="10"/>
      <c r="F616" t="str">
        <f t="shared" si="7"/>
        <v/>
      </c>
    </row>
    <row r="617" spans="2:6" x14ac:dyDescent="0.35">
      <c r="B617" s="10"/>
      <c r="F617" t="str">
        <f t="shared" si="7"/>
        <v/>
      </c>
    </row>
    <row r="618" spans="2:6" x14ac:dyDescent="0.35">
      <c r="B618" s="10"/>
      <c r="F618" t="str">
        <f t="shared" si="7"/>
        <v/>
      </c>
    </row>
    <row r="619" spans="2:6" x14ac:dyDescent="0.35">
      <c r="B619" s="10"/>
      <c r="F619" t="str">
        <f t="shared" si="7"/>
        <v/>
      </c>
    </row>
    <row r="620" spans="2:6" x14ac:dyDescent="0.35">
      <c r="B620" s="10"/>
      <c r="F620" t="str">
        <f t="shared" si="7"/>
        <v/>
      </c>
    </row>
    <row r="621" spans="2:6" x14ac:dyDescent="0.35">
      <c r="B621" s="10"/>
      <c r="F621" t="str">
        <f t="shared" si="7"/>
        <v/>
      </c>
    </row>
    <row r="622" spans="2:6" x14ac:dyDescent="0.35">
      <c r="B622" s="10"/>
      <c r="F622" t="str">
        <f t="shared" si="7"/>
        <v/>
      </c>
    </row>
    <row r="623" spans="2:6" x14ac:dyDescent="0.35">
      <c r="B623" s="10"/>
      <c r="F623" t="str">
        <f t="shared" si="7"/>
        <v/>
      </c>
    </row>
    <row r="624" spans="2:6" x14ac:dyDescent="0.35">
      <c r="B624" s="10"/>
      <c r="F624" t="str">
        <f t="shared" si="7"/>
        <v/>
      </c>
    </row>
    <row r="625" spans="2:6" x14ac:dyDescent="0.35">
      <c r="B625" s="10"/>
      <c r="F625" t="str">
        <f t="shared" si="7"/>
        <v/>
      </c>
    </row>
    <row r="626" spans="2:6" x14ac:dyDescent="0.35">
      <c r="B626" s="10"/>
      <c r="F626" t="str">
        <f t="shared" si="7"/>
        <v/>
      </c>
    </row>
    <row r="627" spans="2:6" x14ac:dyDescent="0.35">
      <c r="B627" s="10"/>
      <c r="F627" t="str">
        <f t="shared" si="7"/>
        <v/>
      </c>
    </row>
    <row r="628" spans="2:6" x14ac:dyDescent="0.35">
      <c r="B628" s="10"/>
      <c r="F628" t="str">
        <f t="shared" si="7"/>
        <v/>
      </c>
    </row>
    <row r="629" spans="2:6" x14ac:dyDescent="0.35">
      <c r="B629" s="10"/>
      <c r="F629" t="str">
        <f t="shared" si="7"/>
        <v/>
      </c>
    </row>
    <row r="630" spans="2:6" x14ac:dyDescent="0.35">
      <c r="B630" s="10"/>
      <c r="F630" t="str">
        <f t="shared" si="7"/>
        <v/>
      </c>
    </row>
    <row r="631" spans="2:6" x14ac:dyDescent="0.35">
      <c r="B631" s="10"/>
      <c r="F631" t="str">
        <f t="shared" si="7"/>
        <v/>
      </c>
    </row>
    <row r="632" spans="2:6" x14ac:dyDescent="0.35">
      <c r="B632" s="10"/>
      <c r="F632" t="str">
        <f t="shared" si="7"/>
        <v/>
      </c>
    </row>
    <row r="633" spans="2:6" x14ac:dyDescent="0.35">
      <c r="B633" s="10"/>
      <c r="F633" t="str">
        <f t="shared" si="7"/>
        <v/>
      </c>
    </row>
    <row r="634" spans="2:6" x14ac:dyDescent="0.35">
      <c r="B634" s="10"/>
      <c r="F634" t="str">
        <f t="shared" si="7"/>
        <v/>
      </c>
    </row>
    <row r="635" spans="2:6" x14ac:dyDescent="0.35">
      <c r="B635" s="10"/>
      <c r="F635" t="str">
        <f t="shared" si="7"/>
        <v/>
      </c>
    </row>
    <row r="636" spans="2:6" x14ac:dyDescent="0.35">
      <c r="B636" s="10"/>
      <c r="F636" t="str">
        <f t="shared" si="7"/>
        <v/>
      </c>
    </row>
    <row r="637" spans="2:6" x14ac:dyDescent="0.35">
      <c r="B637" s="10"/>
      <c r="F637" t="str">
        <f t="shared" si="7"/>
        <v/>
      </c>
    </row>
    <row r="638" spans="2:6" x14ac:dyDescent="0.35">
      <c r="B638" s="10"/>
      <c r="F638" t="str">
        <f t="shared" si="7"/>
        <v/>
      </c>
    </row>
    <row r="639" spans="2:6" x14ac:dyDescent="0.35">
      <c r="B639" s="10"/>
      <c r="F639" t="str">
        <f t="shared" si="7"/>
        <v/>
      </c>
    </row>
    <row r="640" spans="2:6" x14ac:dyDescent="0.35">
      <c r="B640" s="10"/>
      <c r="F640" t="str">
        <f t="shared" si="7"/>
        <v/>
      </c>
    </row>
    <row r="641" spans="2:6" x14ac:dyDescent="0.35">
      <c r="B641" s="10"/>
      <c r="F641" t="str">
        <f t="shared" si="7"/>
        <v/>
      </c>
    </row>
    <row r="642" spans="2:6" x14ac:dyDescent="0.35">
      <c r="B642" s="10"/>
      <c r="F642" t="str">
        <f t="shared" ref="F642:F705" si="8">IF(LEFT(D642,3)="นาย","ชาย",IF(LEFT(D642,3)="นาง","หญิง",""))</f>
        <v/>
      </c>
    </row>
    <row r="643" spans="2:6" x14ac:dyDescent="0.35">
      <c r="B643" s="10"/>
      <c r="F643" t="str">
        <f t="shared" si="8"/>
        <v/>
      </c>
    </row>
    <row r="644" spans="2:6" x14ac:dyDescent="0.35">
      <c r="B644" s="10"/>
      <c r="F644" t="str">
        <f t="shared" si="8"/>
        <v/>
      </c>
    </row>
    <row r="645" spans="2:6" x14ac:dyDescent="0.35">
      <c r="B645" s="10"/>
      <c r="F645" t="str">
        <f t="shared" si="8"/>
        <v/>
      </c>
    </row>
    <row r="646" spans="2:6" x14ac:dyDescent="0.35">
      <c r="B646" s="10"/>
      <c r="F646" t="str">
        <f t="shared" si="8"/>
        <v/>
      </c>
    </row>
    <row r="647" spans="2:6" x14ac:dyDescent="0.35">
      <c r="B647" s="10"/>
      <c r="F647" t="str">
        <f t="shared" si="8"/>
        <v/>
      </c>
    </row>
    <row r="648" spans="2:6" x14ac:dyDescent="0.35">
      <c r="B648" s="10"/>
      <c r="F648" t="str">
        <f t="shared" si="8"/>
        <v/>
      </c>
    </row>
    <row r="649" spans="2:6" x14ac:dyDescent="0.35">
      <c r="B649" s="10"/>
      <c r="F649" t="str">
        <f t="shared" si="8"/>
        <v/>
      </c>
    </row>
    <row r="650" spans="2:6" x14ac:dyDescent="0.35">
      <c r="B650" s="10"/>
      <c r="F650" t="str">
        <f t="shared" si="8"/>
        <v/>
      </c>
    </row>
    <row r="651" spans="2:6" x14ac:dyDescent="0.35">
      <c r="B651" s="10"/>
      <c r="F651" t="str">
        <f t="shared" si="8"/>
        <v/>
      </c>
    </row>
    <row r="652" spans="2:6" x14ac:dyDescent="0.35">
      <c r="B652" s="10"/>
      <c r="F652" t="str">
        <f t="shared" si="8"/>
        <v/>
      </c>
    </row>
    <row r="653" spans="2:6" x14ac:dyDescent="0.35">
      <c r="B653" s="10"/>
      <c r="F653" t="str">
        <f t="shared" si="8"/>
        <v/>
      </c>
    </row>
    <row r="654" spans="2:6" x14ac:dyDescent="0.35">
      <c r="B654" s="10"/>
      <c r="F654" t="str">
        <f t="shared" si="8"/>
        <v/>
      </c>
    </row>
    <row r="655" spans="2:6" x14ac:dyDescent="0.35">
      <c r="B655" s="10"/>
      <c r="F655" t="str">
        <f t="shared" si="8"/>
        <v/>
      </c>
    </row>
    <row r="656" spans="2:6" x14ac:dyDescent="0.35">
      <c r="B656" s="10"/>
      <c r="F656" t="str">
        <f t="shared" si="8"/>
        <v/>
      </c>
    </row>
    <row r="657" spans="2:6" x14ac:dyDescent="0.35">
      <c r="B657" s="10"/>
      <c r="F657" t="str">
        <f t="shared" si="8"/>
        <v/>
      </c>
    </row>
    <row r="658" spans="2:6" x14ac:dyDescent="0.35">
      <c r="B658" s="10"/>
      <c r="F658" t="str">
        <f t="shared" si="8"/>
        <v/>
      </c>
    </row>
    <row r="659" spans="2:6" x14ac:dyDescent="0.35">
      <c r="B659" s="10"/>
      <c r="F659" t="str">
        <f t="shared" si="8"/>
        <v/>
      </c>
    </row>
    <row r="660" spans="2:6" x14ac:dyDescent="0.35">
      <c r="B660" s="10"/>
      <c r="F660" t="str">
        <f t="shared" si="8"/>
        <v/>
      </c>
    </row>
    <row r="661" spans="2:6" x14ac:dyDescent="0.35">
      <c r="B661" s="10"/>
      <c r="F661" t="str">
        <f t="shared" si="8"/>
        <v/>
      </c>
    </row>
    <row r="662" spans="2:6" x14ac:dyDescent="0.35">
      <c r="B662" s="10"/>
      <c r="F662" t="str">
        <f t="shared" si="8"/>
        <v/>
      </c>
    </row>
    <row r="663" spans="2:6" x14ac:dyDescent="0.35">
      <c r="B663" s="10"/>
      <c r="F663" t="str">
        <f t="shared" si="8"/>
        <v/>
      </c>
    </row>
    <row r="664" spans="2:6" x14ac:dyDescent="0.35">
      <c r="B664" s="10"/>
      <c r="F664" t="str">
        <f t="shared" si="8"/>
        <v/>
      </c>
    </row>
    <row r="665" spans="2:6" x14ac:dyDescent="0.35">
      <c r="B665" s="10"/>
      <c r="F665" t="str">
        <f t="shared" si="8"/>
        <v/>
      </c>
    </row>
    <row r="666" spans="2:6" x14ac:dyDescent="0.35">
      <c r="B666" s="10"/>
      <c r="F666" t="str">
        <f t="shared" si="8"/>
        <v/>
      </c>
    </row>
    <row r="667" spans="2:6" x14ac:dyDescent="0.35">
      <c r="B667" s="10"/>
      <c r="F667" t="str">
        <f t="shared" si="8"/>
        <v/>
      </c>
    </row>
    <row r="668" spans="2:6" x14ac:dyDescent="0.35">
      <c r="B668" s="10"/>
      <c r="F668" t="str">
        <f t="shared" si="8"/>
        <v/>
      </c>
    </row>
    <row r="669" spans="2:6" x14ac:dyDescent="0.35">
      <c r="B669" s="10"/>
      <c r="F669" t="str">
        <f t="shared" si="8"/>
        <v/>
      </c>
    </row>
    <row r="670" spans="2:6" x14ac:dyDescent="0.35">
      <c r="B670" s="10"/>
      <c r="F670" t="str">
        <f t="shared" si="8"/>
        <v/>
      </c>
    </row>
    <row r="671" spans="2:6" x14ac:dyDescent="0.35">
      <c r="B671" s="10"/>
      <c r="F671" t="str">
        <f t="shared" si="8"/>
        <v/>
      </c>
    </row>
    <row r="672" spans="2:6" x14ac:dyDescent="0.35">
      <c r="B672" s="10"/>
      <c r="F672" t="str">
        <f t="shared" si="8"/>
        <v/>
      </c>
    </row>
    <row r="673" spans="2:6" x14ac:dyDescent="0.35">
      <c r="B673" s="10"/>
      <c r="F673" t="str">
        <f t="shared" si="8"/>
        <v/>
      </c>
    </row>
    <row r="674" spans="2:6" x14ac:dyDescent="0.35">
      <c r="B674" s="10"/>
      <c r="F674" t="str">
        <f t="shared" si="8"/>
        <v/>
      </c>
    </row>
    <row r="675" spans="2:6" x14ac:dyDescent="0.35">
      <c r="B675" s="10"/>
      <c r="F675" t="str">
        <f t="shared" si="8"/>
        <v/>
      </c>
    </row>
    <row r="676" spans="2:6" x14ac:dyDescent="0.35">
      <c r="B676" s="10"/>
      <c r="F676" t="str">
        <f t="shared" si="8"/>
        <v/>
      </c>
    </row>
    <row r="677" spans="2:6" x14ac:dyDescent="0.35">
      <c r="B677" s="10"/>
      <c r="F677" t="str">
        <f t="shared" si="8"/>
        <v/>
      </c>
    </row>
    <row r="678" spans="2:6" x14ac:dyDescent="0.35">
      <c r="B678" s="10"/>
      <c r="F678" t="str">
        <f t="shared" si="8"/>
        <v/>
      </c>
    </row>
    <row r="679" spans="2:6" x14ac:dyDescent="0.35">
      <c r="B679" s="10"/>
      <c r="F679" t="str">
        <f t="shared" si="8"/>
        <v/>
      </c>
    </row>
    <row r="680" spans="2:6" x14ac:dyDescent="0.35">
      <c r="B680" s="10"/>
      <c r="F680" t="str">
        <f t="shared" si="8"/>
        <v/>
      </c>
    </row>
    <row r="681" spans="2:6" x14ac:dyDescent="0.35">
      <c r="B681" s="10"/>
      <c r="F681" t="str">
        <f t="shared" si="8"/>
        <v/>
      </c>
    </row>
    <row r="682" spans="2:6" x14ac:dyDescent="0.35">
      <c r="B682" s="10"/>
      <c r="F682" t="str">
        <f t="shared" si="8"/>
        <v/>
      </c>
    </row>
    <row r="683" spans="2:6" x14ac:dyDescent="0.35">
      <c r="B683" s="10"/>
      <c r="F683" t="str">
        <f t="shared" si="8"/>
        <v/>
      </c>
    </row>
    <row r="684" spans="2:6" x14ac:dyDescent="0.35">
      <c r="B684" s="10"/>
      <c r="F684" t="str">
        <f t="shared" si="8"/>
        <v/>
      </c>
    </row>
    <row r="685" spans="2:6" x14ac:dyDescent="0.35">
      <c r="B685" s="10"/>
      <c r="F685" t="str">
        <f t="shared" si="8"/>
        <v/>
      </c>
    </row>
    <row r="686" spans="2:6" x14ac:dyDescent="0.35">
      <c r="B686" s="10"/>
      <c r="F686" t="str">
        <f t="shared" si="8"/>
        <v/>
      </c>
    </row>
    <row r="687" spans="2:6" x14ac:dyDescent="0.35">
      <c r="B687" s="10"/>
      <c r="F687" t="str">
        <f t="shared" si="8"/>
        <v/>
      </c>
    </row>
    <row r="688" spans="2:6" x14ac:dyDescent="0.35">
      <c r="B688" s="10"/>
      <c r="F688" t="str">
        <f t="shared" si="8"/>
        <v/>
      </c>
    </row>
    <row r="689" spans="2:6" x14ac:dyDescent="0.35">
      <c r="B689" s="10"/>
      <c r="F689" t="str">
        <f t="shared" si="8"/>
        <v/>
      </c>
    </row>
    <row r="690" spans="2:6" x14ac:dyDescent="0.35">
      <c r="B690" s="10"/>
      <c r="F690" t="str">
        <f t="shared" si="8"/>
        <v/>
      </c>
    </row>
    <row r="691" spans="2:6" x14ac:dyDescent="0.35">
      <c r="B691" s="10"/>
      <c r="F691" t="str">
        <f t="shared" si="8"/>
        <v/>
      </c>
    </row>
    <row r="692" spans="2:6" x14ac:dyDescent="0.35">
      <c r="B692" s="10"/>
      <c r="F692" t="str">
        <f t="shared" si="8"/>
        <v/>
      </c>
    </row>
    <row r="693" spans="2:6" x14ac:dyDescent="0.35">
      <c r="B693" s="10"/>
      <c r="F693" t="str">
        <f t="shared" si="8"/>
        <v/>
      </c>
    </row>
    <row r="694" spans="2:6" x14ac:dyDescent="0.35">
      <c r="B694" s="10"/>
      <c r="F694" t="str">
        <f t="shared" si="8"/>
        <v/>
      </c>
    </row>
    <row r="695" spans="2:6" x14ac:dyDescent="0.35">
      <c r="B695" s="10"/>
      <c r="F695" t="str">
        <f t="shared" si="8"/>
        <v/>
      </c>
    </row>
    <row r="696" spans="2:6" x14ac:dyDescent="0.35">
      <c r="B696" s="10"/>
      <c r="F696" t="str">
        <f t="shared" si="8"/>
        <v/>
      </c>
    </row>
    <row r="697" spans="2:6" x14ac:dyDescent="0.35">
      <c r="B697" s="10"/>
      <c r="F697" t="str">
        <f t="shared" si="8"/>
        <v/>
      </c>
    </row>
    <row r="698" spans="2:6" x14ac:dyDescent="0.35">
      <c r="B698" s="10"/>
      <c r="F698" t="str">
        <f t="shared" si="8"/>
        <v/>
      </c>
    </row>
    <row r="699" spans="2:6" x14ac:dyDescent="0.35">
      <c r="B699" s="10"/>
      <c r="F699" t="str">
        <f t="shared" si="8"/>
        <v/>
      </c>
    </row>
    <row r="700" spans="2:6" x14ac:dyDescent="0.35">
      <c r="B700" s="10"/>
      <c r="F700" t="str">
        <f t="shared" si="8"/>
        <v/>
      </c>
    </row>
    <row r="701" spans="2:6" x14ac:dyDescent="0.35">
      <c r="B701" s="10"/>
      <c r="F701" t="str">
        <f t="shared" si="8"/>
        <v/>
      </c>
    </row>
    <row r="702" spans="2:6" x14ac:dyDescent="0.35">
      <c r="B702" s="10"/>
      <c r="F702" t="str">
        <f t="shared" si="8"/>
        <v/>
      </c>
    </row>
    <row r="703" spans="2:6" x14ac:dyDescent="0.35">
      <c r="B703" s="10"/>
      <c r="F703" t="str">
        <f t="shared" si="8"/>
        <v/>
      </c>
    </row>
    <row r="704" spans="2:6" x14ac:dyDescent="0.35">
      <c r="B704" s="10"/>
      <c r="F704" t="str">
        <f t="shared" si="8"/>
        <v/>
      </c>
    </row>
    <row r="705" spans="2:6" x14ac:dyDescent="0.35">
      <c r="B705" s="10"/>
      <c r="F705" t="str">
        <f t="shared" si="8"/>
        <v/>
      </c>
    </row>
    <row r="706" spans="2:6" x14ac:dyDescent="0.35">
      <c r="B706" s="10"/>
      <c r="F706" t="str">
        <f t="shared" ref="F706:F769" si="9">IF(LEFT(D706,3)="นาย","ชาย",IF(LEFT(D706,3)="นาง","หญิง",""))</f>
        <v/>
      </c>
    </row>
    <row r="707" spans="2:6" x14ac:dyDescent="0.35">
      <c r="B707" s="10"/>
      <c r="F707" t="str">
        <f t="shared" si="9"/>
        <v/>
      </c>
    </row>
    <row r="708" spans="2:6" x14ac:dyDescent="0.35">
      <c r="B708" s="10"/>
      <c r="F708" t="str">
        <f t="shared" si="9"/>
        <v/>
      </c>
    </row>
    <row r="709" spans="2:6" x14ac:dyDescent="0.35">
      <c r="B709" s="10"/>
      <c r="F709" t="str">
        <f t="shared" si="9"/>
        <v/>
      </c>
    </row>
    <row r="710" spans="2:6" x14ac:dyDescent="0.35">
      <c r="B710" s="10"/>
      <c r="F710" t="str">
        <f t="shared" si="9"/>
        <v/>
      </c>
    </row>
    <row r="711" spans="2:6" x14ac:dyDescent="0.35">
      <c r="B711" s="10"/>
      <c r="F711" t="str">
        <f t="shared" si="9"/>
        <v/>
      </c>
    </row>
    <row r="712" spans="2:6" x14ac:dyDescent="0.35">
      <c r="B712" s="10"/>
      <c r="F712" t="str">
        <f t="shared" si="9"/>
        <v/>
      </c>
    </row>
    <row r="713" spans="2:6" x14ac:dyDescent="0.35">
      <c r="B713" s="10"/>
      <c r="F713" t="str">
        <f t="shared" si="9"/>
        <v/>
      </c>
    </row>
    <row r="714" spans="2:6" x14ac:dyDescent="0.35">
      <c r="B714" s="10"/>
      <c r="F714" t="str">
        <f t="shared" si="9"/>
        <v/>
      </c>
    </row>
    <row r="715" spans="2:6" x14ac:dyDescent="0.35">
      <c r="B715" s="10"/>
      <c r="F715" t="str">
        <f t="shared" si="9"/>
        <v/>
      </c>
    </row>
    <row r="716" spans="2:6" x14ac:dyDescent="0.35">
      <c r="B716" s="10"/>
      <c r="F716" t="str">
        <f t="shared" si="9"/>
        <v/>
      </c>
    </row>
    <row r="717" spans="2:6" x14ac:dyDescent="0.35">
      <c r="B717" s="10"/>
      <c r="F717" t="str">
        <f t="shared" si="9"/>
        <v/>
      </c>
    </row>
    <row r="718" spans="2:6" x14ac:dyDescent="0.35">
      <c r="B718" s="10"/>
      <c r="F718" t="str">
        <f t="shared" si="9"/>
        <v/>
      </c>
    </row>
    <row r="719" spans="2:6" x14ac:dyDescent="0.35">
      <c r="B719" s="10"/>
      <c r="F719" t="str">
        <f t="shared" si="9"/>
        <v/>
      </c>
    </row>
    <row r="720" spans="2:6" x14ac:dyDescent="0.35">
      <c r="B720" s="10"/>
      <c r="F720" t="str">
        <f t="shared" si="9"/>
        <v/>
      </c>
    </row>
    <row r="721" spans="2:6" x14ac:dyDescent="0.35">
      <c r="B721" s="10"/>
      <c r="F721" t="str">
        <f t="shared" si="9"/>
        <v/>
      </c>
    </row>
    <row r="722" spans="2:6" x14ac:dyDescent="0.35">
      <c r="B722" s="10"/>
      <c r="F722" t="str">
        <f t="shared" si="9"/>
        <v/>
      </c>
    </row>
    <row r="723" spans="2:6" x14ac:dyDescent="0.35">
      <c r="B723" s="10"/>
      <c r="F723" t="str">
        <f t="shared" si="9"/>
        <v/>
      </c>
    </row>
    <row r="724" spans="2:6" x14ac:dyDescent="0.35">
      <c r="B724" s="10"/>
      <c r="F724" t="str">
        <f t="shared" si="9"/>
        <v/>
      </c>
    </row>
    <row r="725" spans="2:6" x14ac:dyDescent="0.35">
      <c r="B725" s="10"/>
      <c r="F725" t="str">
        <f t="shared" si="9"/>
        <v/>
      </c>
    </row>
    <row r="726" spans="2:6" x14ac:dyDescent="0.35">
      <c r="B726" s="10"/>
      <c r="F726" t="str">
        <f t="shared" si="9"/>
        <v/>
      </c>
    </row>
    <row r="727" spans="2:6" x14ac:dyDescent="0.35">
      <c r="B727" s="10"/>
      <c r="F727" t="str">
        <f t="shared" si="9"/>
        <v/>
      </c>
    </row>
    <row r="728" spans="2:6" x14ac:dyDescent="0.35">
      <c r="B728" s="10"/>
      <c r="F728" t="str">
        <f t="shared" si="9"/>
        <v/>
      </c>
    </row>
    <row r="729" spans="2:6" x14ac:dyDescent="0.35">
      <c r="B729" s="10"/>
      <c r="F729" t="str">
        <f t="shared" si="9"/>
        <v/>
      </c>
    </row>
    <row r="730" spans="2:6" x14ac:dyDescent="0.35">
      <c r="B730" s="10"/>
      <c r="F730" t="str">
        <f t="shared" si="9"/>
        <v/>
      </c>
    </row>
    <row r="731" spans="2:6" x14ac:dyDescent="0.35">
      <c r="B731" s="10"/>
      <c r="F731" t="str">
        <f t="shared" si="9"/>
        <v/>
      </c>
    </row>
    <row r="732" spans="2:6" x14ac:dyDescent="0.35">
      <c r="B732" s="10"/>
      <c r="F732" t="str">
        <f t="shared" si="9"/>
        <v/>
      </c>
    </row>
    <row r="733" spans="2:6" x14ac:dyDescent="0.35">
      <c r="B733" s="10"/>
      <c r="F733" t="str">
        <f t="shared" si="9"/>
        <v/>
      </c>
    </row>
    <row r="734" spans="2:6" x14ac:dyDescent="0.35">
      <c r="B734" s="10"/>
      <c r="F734" t="str">
        <f t="shared" si="9"/>
        <v/>
      </c>
    </row>
    <row r="735" spans="2:6" x14ac:dyDescent="0.35">
      <c r="B735" s="10"/>
      <c r="F735" t="str">
        <f t="shared" si="9"/>
        <v/>
      </c>
    </row>
    <row r="736" spans="2:6" x14ac:dyDescent="0.35">
      <c r="B736" s="10"/>
      <c r="F736" t="str">
        <f t="shared" si="9"/>
        <v/>
      </c>
    </row>
    <row r="737" spans="2:6" x14ac:dyDescent="0.35">
      <c r="B737" s="10"/>
      <c r="F737" t="str">
        <f t="shared" si="9"/>
        <v/>
      </c>
    </row>
    <row r="738" spans="2:6" x14ac:dyDescent="0.35">
      <c r="B738" s="10"/>
      <c r="F738" t="str">
        <f t="shared" si="9"/>
        <v/>
      </c>
    </row>
    <row r="739" spans="2:6" x14ac:dyDescent="0.35">
      <c r="B739" s="10"/>
      <c r="F739" t="str">
        <f t="shared" si="9"/>
        <v/>
      </c>
    </row>
    <row r="740" spans="2:6" x14ac:dyDescent="0.35">
      <c r="B740" s="10"/>
      <c r="F740" t="str">
        <f t="shared" si="9"/>
        <v/>
      </c>
    </row>
    <row r="741" spans="2:6" x14ac:dyDescent="0.35">
      <c r="B741" s="10"/>
      <c r="F741" t="str">
        <f t="shared" si="9"/>
        <v/>
      </c>
    </row>
    <row r="742" spans="2:6" x14ac:dyDescent="0.35">
      <c r="B742" s="10"/>
      <c r="F742" t="str">
        <f t="shared" si="9"/>
        <v/>
      </c>
    </row>
    <row r="743" spans="2:6" x14ac:dyDescent="0.35">
      <c r="B743" s="10"/>
      <c r="F743" t="str">
        <f t="shared" si="9"/>
        <v/>
      </c>
    </row>
    <row r="744" spans="2:6" x14ac:dyDescent="0.35">
      <c r="B744" s="10"/>
      <c r="F744" t="str">
        <f t="shared" si="9"/>
        <v/>
      </c>
    </row>
    <row r="745" spans="2:6" x14ac:dyDescent="0.35">
      <c r="B745" s="10"/>
      <c r="F745" t="str">
        <f t="shared" si="9"/>
        <v/>
      </c>
    </row>
    <row r="746" spans="2:6" x14ac:dyDescent="0.35">
      <c r="B746" s="10"/>
      <c r="F746" t="str">
        <f t="shared" si="9"/>
        <v/>
      </c>
    </row>
    <row r="747" spans="2:6" x14ac:dyDescent="0.35">
      <c r="B747" s="10"/>
      <c r="F747" t="str">
        <f t="shared" si="9"/>
        <v/>
      </c>
    </row>
    <row r="748" spans="2:6" x14ac:dyDescent="0.35">
      <c r="B748" s="10"/>
      <c r="F748" t="str">
        <f t="shared" si="9"/>
        <v/>
      </c>
    </row>
    <row r="749" spans="2:6" x14ac:dyDescent="0.35">
      <c r="B749" s="10"/>
      <c r="F749" t="str">
        <f t="shared" si="9"/>
        <v/>
      </c>
    </row>
    <row r="750" spans="2:6" x14ac:dyDescent="0.35">
      <c r="B750" s="10"/>
      <c r="F750" t="str">
        <f t="shared" si="9"/>
        <v/>
      </c>
    </row>
    <row r="751" spans="2:6" x14ac:dyDescent="0.35">
      <c r="B751" s="10"/>
      <c r="F751" t="str">
        <f t="shared" si="9"/>
        <v/>
      </c>
    </row>
    <row r="752" spans="2:6" x14ac:dyDescent="0.35">
      <c r="B752" s="10"/>
      <c r="F752" t="str">
        <f t="shared" si="9"/>
        <v/>
      </c>
    </row>
    <row r="753" spans="2:6" x14ac:dyDescent="0.35">
      <c r="B753" s="10"/>
      <c r="F753" t="str">
        <f t="shared" si="9"/>
        <v/>
      </c>
    </row>
    <row r="754" spans="2:6" x14ac:dyDescent="0.35">
      <c r="B754" s="10"/>
      <c r="F754" t="str">
        <f t="shared" si="9"/>
        <v/>
      </c>
    </row>
    <row r="755" spans="2:6" x14ac:dyDescent="0.35">
      <c r="B755" s="10"/>
      <c r="F755" t="str">
        <f t="shared" si="9"/>
        <v/>
      </c>
    </row>
    <row r="756" spans="2:6" x14ac:dyDescent="0.35">
      <c r="B756" s="10"/>
      <c r="F756" t="str">
        <f t="shared" si="9"/>
        <v/>
      </c>
    </row>
    <row r="757" spans="2:6" x14ac:dyDescent="0.35">
      <c r="B757" s="10"/>
      <c r="F757" t="str">
        <f t="shared" si="9"/>
        <v/>
      </c>
    </row>
    <row r="758" spans="2:6" x14ac:dyDescent="0.35">
      <c r="B758" s="10"/>
      <c r="F758" t="str">
        <f t="shared" si="9"/>
        <v/>
      </c>
    </row>
    <row r="759" spans="2:6" x14ac:dyDescent="0.35">
      <c r="B759" s="10"/>
      <c r="F759" t="str">
        <f t="shared" si="9"/>
        <v/>
      </c>
    </row>
    <row r="760" spans="2:6" x14ac:dyDescent="0.35">
      <c r="B760" s="10"/>
      <c r="F760" t="str">
        <f t="shared" si="9"/>
        <v/>
      </c>
    </row>
    <row r="761" spans="2:6" x14ac:dyDescent="0.35">
      <c r="B761" s="10"/>
      <c r="F761" t="str">
        <f t="shared" si="9"/>
        <v/>
      </c>
    </row>
    <row r="762" spans="2:6" x14ac:dyDescent="0.35">
      <c r="B762" s="10"/>
      <c r="F762" t="str">
        <f t="shared" si="9"/>
        <v/>
      </c>
    </row>
    <row r="763" spans="2:6" x14ac:dyDescent="0.35">
      <c r="B763" s="10"/>
      <c r="F763" t="str">
        <f t="shared" si="9"/>
        <v/>
      </c>
    </row>
    <row r="764" spans="2:6" x14ac:dyDescent="0.35">
      <c r="B764" s="10"/>
      <c r="F764" t="str">
        <f t="shared" si="9"/>
        <v/>
      </c>
    </row>
    <row r="765" spans="2:6" x14ac:dyDescent="0.35">
      <c r="B765" s="10"/>
      <c r="F765" t="str">
        <f t="shared" si="9"/>
        <v/>
      </c>
    </row>
    <row r="766" spans="2:6" x14ac:dyDescent="0.35">
      <c r="B766" s="10"/>
      <c r="F766" t="str">
        <f t="shared" si="9"/>
        <v/>
      </c>
    </row>
    <row r="767" spans="2:6" x14ac:dyDescent="0.35">
      <c r="B767" s="10"/>
      <c r="F767" t="str">
        <f t="shared" si="9"/>
        <v/>
      </c>
    </row>
    <row r="768" spans="2:6" x14ac:dyDescent="0.35">
      <c r="B768" s="10"/>
      <c r="F768" t="str">
        <f t="shared" si="9"/>
        <v/>
      </c>
    </row>
    <row r="769" spans="2:6" x14ac:dyDescent="0.35">
      <c r="B769" s="10"/>
      <c r="F769" t="str">
        <f t="shared" si="9"/>
        <v/>
      </c>
    </row>
    <row r="770" spans="2:6" x14ac:dyDescent="0.35">
      <c r="B770" s="10"/>
      <c r="F770" t="str">
        <f t="shared" ref="F770:F833" si="10">IF(LEFT(D770,3)="นาย","ชาย",IF(LEFT(D770,3)="นาง","หญิง",""))</f>
        <v/>
      </c>
    </row>
    <row r="771" spans="2:6" x14ac:dyDescent="0.35">
      <c r="B771" s="10"/>
      <c r="F771" t="str">
        <f t="shared" si="10"/>
        <v/>
      </c>
    </row>
    <row r="772" spans="2:6" x14ac:dyDescent="0.35">
      <c r="B772" s="10"/>
      <c r="F772" t="str">
        <f t="shared" si="10"/>
        <v/>
      </c>
    </row>
    <row r="773" spans="2:6" x14ac:dyDescent="0.35">
      <c r="B773" s="10"/>
      <c r="F773" t="str">
        <f t="shared" si="10"/>
        <v/>
      </c>
    </row>
    <row r="774" spans="2:6" x14ac:dyDescent="0.35">
      <c r="B774" s="10"/>
      <c r="F774" t="str">
        <f t="shared" si="10"/>
        <v/>
      </c>
    </row>
    <row r="775" spans="2:6" x14ac:dyDescent="0.35">
      <c r="B775" s="10"/>
      <c r="F775" t="str">
        <f t="shared" si="10"/>
        <v/>
      </c>
    </row>
    <row r="776" spans="2:6" x14ac:dyDescent="0.35">
      <c r="B776" s="10"/>
      <c r="F776" t="str">
        <f t="shared" si="10"/>
        <v/>
      </c>
    </row>
    <row r="777" spans="2:6" x14ac:dyDescent="0.35">
      <c r="B777" s="10"/>
      <c r="F777" t="str">
        <f t="shared" si="10"/>
        <v/>
      </c>
    </row>
    <row r="778" spans="2:6" x14ac:dyDescent="0.35">
      <c r="B778" s="10"/>
      <c r="F778" t="str">
        <f t="shared" si="10"/>
        <v/>
      </c>
    </row>
    <row r="779" spans="2:6" x14ac:dyDescent="0.35">
      <c r="B779" s="10"/>
      <c r="F779" t="str">
        <f t="shared" si="10"/>
        <v/>
      </c>
    </row>
    <row r="780" spans="2:6" x14ac:dyDescent="0.35">
      <c r="B780" s="10"/>
      <c r="F780" t="str">
        <f t="shared" si="10"/>
        <v/>
      </c>
    </row>
    <row r="781" spans="2:6" x14ac:dyDescent="0.35">
      <c r="B781" s="10"/>
      <c r="F781" t="str">
        <f t="shared" si="10"/>
        <v/>
      </c>
    </row>
    <row r="782" spans="2:6" x14ac:dyDescent="0.35">
      <c r="B782" s="10"/>
      <c r="F782" t="str">
        <f t="shared" si="10"/>
        <v/>
      </c>
    </row>
    <row r="783" spans="2:6" x14ac:dyDescent="0.35">
      <c r="B783" s="10"/>
      <c r="F783" t="str">
        <f t="shared" si="10"/>
        <v/>
      </c>
    </row>
    <row r="784" spans="2:6" x14ac:dyDescent="0.35">
      <c r="B784" s="10"/>
      <c r="F784" t="str">
        <f t="shared" si="10"/>
        <v/>
      </c>
    </row>
    <row r="785" spans="2:6" x14ac:dyDescent="0.35">
      <c r="B785" s="10"/>
      <c r="F785" t="str">
        <f t="shared" si="10"/>
        <v/>
      </c>
    </row>
    <row r="786" spans="2:6" x14ac:dyDescent="0.35">
      <c r="B786" s="10"/>
      <c r="F786" t="str">
        <f t="shared" si="10"/>
        <v/>
      </c>
    </row>
    <row r="787" spans="2:6" x14ac:dyDescent="0.35">
      <c r="B787" s="10"/>
      <c r="F787" t="str">
        <f t="shared" si="10"/>
        <v/>
      </c>
    </row>
    <row r="788" spans="2:6" x14ac:dyDescent="0.35">
      <c r="B788" s="10"/>
      <c r="F788" t="str">
        <f t="shared" si="10"/>
        <v/>
      </c>
    </row>
    <row r="789" spans="2:6" x14ac:dyDescent="0.35">
      <c r="B789" s="10"/>
      <c r="F789" t="str">
        <f t="shared" si="10"/>
        <v/>
      </c>
    </row>
    <row r="790" spans="2:6" x14ac:dyDescent="0.35">
      <c r="B790" s="10"/>
      <c r="F790" t="str">
        <f t="shared" si="10"/>
        <v/>
      </c>
    </row>
    <row r="791" spans="2:6" x14ac:dyDescent="0.35">
      <c r="B791" s="10"/>
      <c r="F791" t="str">
        <f t="shared" si="10"/>
        <v/>
      </c>
    </row>
    <row r="792" spans="2:6" x14ac:dyDescent="0.35">
      <c r="B792" s="10"/>
      <c r="F792" t="str">
        <f t="shared" si="10"/>
        <v/>
      </c>
    </row>
    <row r="793" spans="2:6" x14ac:dyDescent="0.35">
      <c r="B793" s="10"/>
      <c r="F793" t="str">
        <f t="shared" si="10"/>
        <v/>
      </c>
    </row>
    <row r="794" spans="2:6" x14ac:dyDescent="0.35">
      <c r="B794" s="10"/>
      <c r="F794" t="str">
        <f t="shared" si="10"/>
        <v/>
      </c>
    </row>
    <row r="795" spans="2:6" x14ac:dyDescent="0.35">
      <c r="B795" s="10"/>
      <c r="F795" t="str">
        <f t="shared" si="10"/>
        <v/>
      </c>
    </row>
    <row r="796" spans="2:6" x14ac:dyDescent="0.35">
      <c r="B796" s="10"/>
      <c r="F796" t="str">
        <f t="shared" si="10"/>
        <v/>
      </c>
    </row>
    <row r="797" spans="2:6" x14ac:dyDescent="0.35">
      <c r="B797" s="10"/>
      <c r="F797" t="str">
        <f t="shared" si="10"/>
        <v/>
      </c>
    </row>
    <row r="798" spans="2:6" x14ac:dyDescent="0.35">
      <c r="B798" s="10"/>
      <c r="F798" t="str">
        <f t="shared" si="10"/>
        <v/>
      </c>
    </row>
    <row r="799" spans="2:6" x14ac:dyDescent="0.35">
      <c r="B799" s="10"/>
      <c r="F799" t="str">
        <f t="shared" si="10"/>
        <v/>
      </c>
    </row>
    <row r="800" spans="2:6" x14ac:dyDescent="0.35">
      <c r="B800" s="10"/>
      <c r="F800" t="str">
        <f t="shared" si="10"/>
        <v/>
      </c>
    </row>
    <row r="801" spans="2:6" x14ac:dyDescent="0.35">
      <c r="B801" s="10"/>
      <c r="F801" t="str">
        <f t="shared" si="10"/>
        <v/>
      </c>
    </row>
    <row r="802" spans="2:6" x14ac:dyDescent="0.35">
      <c r="B802" s="10"/>
      <c r="F802" t="str">
        <f t="shared" si="10"/>
        <v/>
      </c>
    </row>
    <row r="803" spans="2:6" x14ac:dyDescent="0.35">
      <c r="B803" s="10"/>
      <c r="F803" t="str">
        <f t="shared" si="10"/>
        <v/>
      </c>
    </row>
    <row r="804" spans="2:6" x14ac:dyDescent="0.35">
      <c r="B804" s="10"/>
      <c r="F804" t="str">
        <f t="shared" si="10"/>
        <v/>
      </c>
    </row>
    <row r="805" spans="2:6" x14ac:dyDescent="0.35">
      <c r="B805" s="10"/>
      <c r="F805" t="str">
        <f t="shared" si="10"/>
        <v/>
      </c>
    </row>
    <row r="806" spans="2:6" x14ac:dyDescent="0.35">
      <c r="B806" s="10"/>
      <c r="F806" t="str">
        <f t="shared" si="10"/>
        <v/>
      </c>
    </row>
    <row r="807" spans="2:6" x14ac:dyDescent="0.35">
      <c r="B807" s="10"/>
      <c r="F807" t="str">
        <f t="shared" si="10"/>
        <v/>
      </c>
    </row>
    <row r="808" spans="2:6" x14ac:dyDescent="0.35">
      <c r="B808" s="10"/>
      <c r="F808" t="str">
        <f t="shared" si="10"/>
        <v/>
      </c>
    </row>
    <row r="809" spans="2:6" x14ac:dyDescent="0.35">
      <c r="B809" s="10"/>
      <c r="F809" t="str">
        <f t="shared" si="10"/>
        <v/>
      </c>
    </row>
    <row r="810" spans="2:6" x14ac:dyDescent="0.35">
      <c r="B810" s="10"/>
      <c r="F810" t="str">
        <f t="shared" si="10"/>
        <v/>
      </c>
    </row>
    <row r="811" spans="2:6" x14ac:dyDescent="0.35">
      <c r="B811" s="10"/>
      <c r="F811" t="str">
        <f t="shared" si="10"/>
        <v/>
      </c>
    </row>
    <row r="812" spans="2:6" x14ac:dyDescent="0.35">
      <c r="B812" s="10"/>
      <c r="F812" t="str">
        <f t="shared" si="10"/>
        <v/>
      </c>
    </row>
    <row r="813" spans="2:6" x14ac:dyDescent="0.35">
      <c r="B813" s="10"/>
      <c r="F813" t="str">
        <f t="shared" si="10"/>
        <v/>
      </c>
    </row>
    <row r="814" spans="2:6" x14ac:dyDescent="0.35">
      <c r="B814" s="10"/>
      <c r="F814" t="str">
        <f t="shared" si="10"/>
        <v/>
      </c>
    </row>
    <row r="815" spans="2:6" x14ac:dyDescent="0.35">
      <c r="B815" s="10"/>
      <c r="F815" t="str">
        <f t="shared" si="10"/>
        <v/>
      </c>
    </row>
    <row r="816" spans="2:6" x14ac:dyDescent="0.35">
      <c r="B816" s="10"/>
      <c r="F816" t="str">
        <f t="shared" si="10"/>
        <v/>
      </c>
    </row>
    <row r="817" spans="2:6" x14ac:dyDescent="0.35">
      <c r="B817" s="10"/>
      <c r="F817" t="str">
        <f t="shared" si="10"/>
        <v/>
      </c>
    </row>
    <row r="818" spans="2:6" x14ac:dyDescent="0.35">
      <c r="B818" s="10"/>
      <c r="F818" t="str">
        <f t="shared" si="10"/>
        <v/>
      </c>
    </row>
    <row r="819" spans="2:6" x14ac:dyDescent="0.35">
      <c r="B819" s="10"/>
      <c r="F819" t="str">
        <f t="shared" si="10"/>
        <v/>
      </c>
    </row>
    <row r="820" spans="2:6" x14ac:dyDescent="0.35">
      <c r="B820" s="10"/>
      <c r="F820" t="str">
        <f t="shared" si="10"/>
        <v/>
      </c>
    </row>
    <row r="821" spans="2:6" x14ac:dyDescent="0.35">
      <c r="B821" s="10"/>
      <c r="F821" t="str">
        <f t="shared" si="10"/>
        <v/>
      </c>
    </row>
    <row r="822" spans="2:6" x14ac:dyDescent="0.35">
      <c r="B822" s="10"/>
      <c r="F822" t="str">
        <f t="shared" si="10"/>
        <v/>
      </c>
    </row>
    <row r="823" spans="2:6" x14ac:dyDescent="0.35">
      <c r="B823" s="10"/>
      <c r="F823" t="str">
        <f t="shared" si="10"/>
        <v/>
      </c>
    </row>
    <row r="824" spans="2:6" x14ac:dyDescent="0.35">
      <c r="B824" s="10"/>
      <c r="F824" t="str">
        <f t="shared" si="10"/>
        <v/>
      </c>
    </row>
    <row r="825" spans="2:6" x14ac:dyDescent="0.35">
      <c r="B825" s="10"/>
      <c r="F825" t="str">
        <f t="shared" si="10"/>
        <v/>
      </c>
    </row>
    <row r="826" spans="2:6" x14ac:dyDescent="0.35">
      <c r="B826" s="10"/>
      <c r="F826" t="str">
        <f t="shared" si="10"/>
        <v/>
      </c>
    </row>
    <row r="827" spans="2:6" x14ac:dyDescent="0.35">
      <c r="B827" s="10"/>
      <c r="F827" t="str">
        <f t="shared" si="10"/>
        <v/>
      </c>
    </row>
    <row r="828" spans="2:6" x14ac:dyDescent="0.35">
      <c r="B828" s="10"/>
      <c r="F828" t="str">
        <f t="shared" si="10"/>
        <v/>
      </c>
    </row>
    <row r="829" spans="2:6" x14ac:dyDescent="0.35">
      <c r="B829" s="10"/>
      <c r="F829" t="str">
        <f t="shared" si="10"/>
        <v/>
      </c>
    </row>
    <row r="830" spans="2:6" x14ac:dyDescent="0.35">
      <c r="B830" s="10"/>
      <c r="F830" t="str">
        <f t="shared" si="10"/>
        <v/>
      </c>
    </row>
    <row r="831" spans="2:6" x14ac:dyDescent="0.35">
      <c r="B831" s="10"/>
      <c r="F831" t="str">
        <f t="shared" si="10"/>
        <v/>
      </c>
    </row>
    <row r="832" spans="2:6" x14ac:dyDescent="0.35">
      <c r="B832" s="10"/>
      <c r="F832" t="str">
        <f t="shared" si="10"/>
        <v/>
      </c>
    </row>
    <row r="833" spans="2:6" x14ac:dyDescent="0.35">
      <c r="B833" s="10"/>
      <c r="F833" t="str">
        <f t="shared" si="10"/>
        <v/>
      </c>
    </row>
    <row r="834" spans="2:6" x14ac:dyDescent="0.35">
      <c r="B834" s="10"/>
      <c r="F834" t="str">
        <f t="shared" ref="F834:F897" si="11">IF(LEFT(D834,3)="นาย","ชาย",IF(LEFT(D834,3)="นาง","หญิง",""))</f>
        <v/>
      </c>
    </row>
    <row r="835" spans="2:6" x14ac:dyDescent="0.35">
      <c r="B835" s="10"/>
      <c r="F835" t="str">
        <f t="shared" si="11"/>
        <v/>
      </c>
    </row>
    <row r="836" spans="2:6" x14ac:dyDescent="0.35">
      <c r="B836" s="10"/>
      <c r="F836" t="str">
        <f t="shared" si="11"/>
        <v/>
      </c>
    </row>
    <row r="837" spans="2:6" x14ac:dyDescent="0.35">
      <c r="B837" s="10"/>
      <c r="F837" t="str">
        <f t="shared" si="11"/>
        <v/>
      </c>
    </row>
    <row r="838" spans="2:6" x14ac:dyDescent="0.35">
      <c r="B838" s="10"/>
      <c r="F838" t="str">
        <f t="shared" si="11"/>
        <v/>
      </c>
    </row>
    <row r="839" spans="2:6" x14ac:dyDescent="0.35">
      <c r="B839" s="10"/>
      <c r="F839" t="str">
        <f t="shared" si="11"/>
        <v/>
      </c>
    </row>
    <row r="840" spans="2:6" x14ac:dyDescent="0.35">
      <c r="B840" s="10"/>
      <c r="F840" t="str">
        <f t="shared" si="11"/>
        <v/>
      </c>
    </row>
    <row r="841" spans="2:6" x14ac:dyDescent="0.35">
      <c r="B841" s="10"/>
      <c r="F841" t="str">
        <f t="shared" si="11"/>
        <v/>
      </c>
    </row>
    <row r="842" spans="2:6" x14ac:dyDescent="0.35">
      <c r="B842" s="10"/>
      <c r="F842" t="str">
        <f t="shared" si="11"/>
        <v/>
      </c>
    </row>
    <row r="843" spans="2:6" x14ac:dyDescent="0.35">
      <c r="B843" s="10"/>
      <c r="F843" t="str">
        <f t="shared" si="11"/>
        <v/>
      </c>
    </row>
    <row r="844" spans="2:6" x14ac:dyDescent="0.35">
      <c r="B844" s="10"/>
      <c r="F844" t="str">
        <f t="shared" si="11"/>
        <v/>
      </c>
    </row>
    <row r="845" spans="2:6" x14ac:dyDescent="0.35">
      <c r="B845" s="10"/>
      <c r="F845" t="str">
        <f t="shared" si="11"/>
        <v/>
      </c>
    </row>
    <row r="846" spans="2:6" x14ac:dyDescent="0.35">
      <c r="B846" s="10"/>
      <c r="F846" t="str">
        <f t="shared" si="11"/>
        <v/>
      </c>
    </row>
    <row r="847" spans="2:6" x14ac:dyDescent="0.35">
      <c r="B847" s="10"/>
      <c r="F847" t="str">
        <f t="shared" si="11"/>
        <v/>
      </c>
    </row>
    <row r="848" spans="2:6" x14ac:dyDescent="0.35">
      <c r="B848" s="10"/>
      <c r="F848" t="str">
        <f t="shared" si="11"/>
        <v/>
      </c>
    </row>
    <row r="849" spans="2:6" x14ac:dyDescent="0.35">
      <c r="B849" s="10"/>
      <c r="F849" t="str">
        <f t="shared" si="11"/>
        <v/>
      </c>
    </row>
    <row r="850" spans="2:6" x14ac:dyDescent="0.35">
      <c r="B850" s="10"/>
      <c r="F850" t="str">
        <f t="shared" si="11"/>
        <v/>
      </c>
    </row>
    <row r="851" spans="2:6" x14ac:dyDescent="0.35">
      <c r="B851" s="10"/>
      <c r="F851" t="str">
        <f t="shared" si="11"/>
        <v/>
      </c>
    </row>
    <row r="852" spans="2:6" x14ac:dyDescent="0.35">
      <c r="B852" s="10"/>
      <c r="F852" t="str">
        <f t="shared" si="11"/>
        <v/>
      </c>
    </row>
    <row r="853" spans="2:6" x14ac:dyDescent="0.35">
      <c r="B853" s="10"/>
      <c r="F853" t="str">
        <f t="shared" si="11"/>
        <v/>
      </c>
    </row>
    <row r="854" spans="2:6" x14ac:dyDescent="0.35">
      <c r="B854" s="10"/>
      <c r="F854" t="str">
        <f t="shared" si="11"/>
        <v/>
      </c>
    </row>
    <row r="855" spans="2:6" x14ac:dyDescent="0.35">
      <c r="B855" s="10"/>
      <c r="F855" t="str">
        <f t="shared" si="11"/>
        <v/>
      </c>
    </row>
    <row r="856" spans="2:6" x14ac:dyDescent="0.35">
      <c r="B856" s="10"/>
      <c r="F856" t="str">
        <f t="shared" si="11"/>
        <v/>
      </c>
    </row>
    <row r="857" spans="2:6" x14ac:dyDescent="0.35">
      <c r="B857" s="10"/>
      <c r="F857" t="str">
        <f t="shared" si="11"/>
        <v/>
      </c>
    </row>
    <row r="858" spans="2:6" x14ac:dyDescent="0.35">
      <c r="B858" s="10"/>
      <c r="F858" t="str">
        <f t="shared" si="11"/>
        <v/>
      </c>
    </row>
    <row r="859" spans="2:6" x14ac:dyDescent="0.35">
      <c r="B859" s="10"/>
      <c r="F859" t="str">
        <f t="shared" si="11"/>
        <v/>
      </c>
    </row>
    <row r="860" spans="2:6" x14ac:dyDescent="0.35">
      <c r="B860" s="10"/>
      <c r="F860" t="str">
        <f t="shared" si="11"/>
        <v/>
      </c>
    </row>
    <row r="861" spans="2:6" x14ac:dyDescent="0.35">
      <c r="B861" s="10"/>
      <c r="F861" t="str">
        <f t="shared" si="11"/>
        <v/>
      </c>
    </row>
    <row r="862" spans="2:6" x14ac:dyDescent="0.35">
      <c r="B862" s="10"/>
      <c r="F862" t="str">
        <f t="shared" si="11"/>
        <v/>
      </c>
    </row>
    <row r="863" spans="2:6" x14ac:dyDescent="0.35">
      <c r="B863" s="10"/>
      <c r="F863" t="str">
        <f t="shared" si="11"/>
        <v/>
      </c>
    </row>
    <row r="864" spans="2:6" x14ac:dyDescent="0.35">
      <c r="B864" s="10"/>
      <c r="F864" t="str">
        <f t="shared" si="11"/>
        <v/>
      </c>
    </row>
    <row r="865" spans="2:6" x14ac:dyDescent="0.35">
      <c r="B865" s="10"/>
      <c r="F865" t="str">
        <f t="shared" si="11"/>
        <v/>
      </c>
    </row>
    <row r="866" spans="2:6" x14ac:dyDescent="0.35">
      <c r="B866" s="10"/>
      <c r="F866" t="str">
        <f t="shared" si="11"/>
        <v/>
      </c>
    </row>
    <row r="867" spans="2:6" x14ac:dyDescent="0.35">
      <c r="B867" s="10"/>
      <c r="F867" t="str">
        <f t="shared" si="11"/>
        <v/>
      </c>
    </row>
    <row r="868" spans="2:6" x14ac:dyDescent="0.35">
      <c r="B868" s="10"/>
      <c r="F868" t="str">
        <f t="shared" si="11"/>
        <v/>
      </c>
    </row>
    <row r="869" spans="2:6" x14ac:dyDescent="0.35">
      <c r="B869" s="10"/>
      <c r="F869" t="str">
        <f t="shared" si="11"/>
        <v/>
      </c>
    </row>
    <row r="870" spans="2:6" x14ac:dyDescent="0.35">
      <c r="B870" s="10"/>
      <c r="F870" t="str">
        <f t="shared" si="11"/>
        <v/>
      </c>
    </row>
    <row r="871" spans="2:6" x14ac:dyDescent="0.35">
      <c r="B871" s="10"/>
      <c r="F871" t="str">
        <f t="shared" si="11"/>
        <v/>
      </c>
    </row>
    <row r="872" spans="2:6" x14ac:dyDescent="0.35">
      <c r="B872" s="10"/>
      <c r="F872" t="str">
        <f t="shared" si="11"/>
        <v/>
      </c>
    </row>
    <row r="873" spans="2:6" x14ac:dyDescent="0.35">
      <c r="B873" s="10"/>
      <c r="F873" t="str">
        <f t="shared" si="11"/>
        <v/>
      </c>
    </row>
    <row r="874" spans="2:6" x14ac:dyDescent="0.35">
      <c r="B874" s="10"/>
      <c r="F874" t="str">
        <f t="shared" si="11"/>
        <v/>
      </c>
    </row>
    <row r="875" spans="2:6" x14ac:dyDescent="0.35">
      <c r="B875" s="10"/>
      <c r="F875" t="str">
        <f t="shared" si="11"/>
        <v/>
      </c>
    </row>
    <row r="876" spans="2:6" x14ac:dyDescent="0.35">
      <c r="B876" s="10"/>
      <c r="F876" t="str">
        <f t="shared" si="11"/>
        <v/>
      </c>
    </row>
    <row r="877" spans="2:6" x14ac:dyDescent="0.35">
      <c r="B877" s="10"/>
      <c r="F877" t="str">
        <f t="shared" si="11"/>
        <v/>
      </c>
    </row>
    <row r="878" spans="2:6" x14ac:dyDescent="0.35">
      <c r="B878" s="10"/>
      <c r="F878" t="str">
        <f t="shared" si="11"/>
        <v/>
      </c>
    </row>
    <row r="879" spans="2:6" x14ac:dyDescent="0.35">
      <c r="B879" s="10"/>
      <c r="F879" t="str">
        <f t="shared" si="11"/>
        <v/>
      </c>
    </row>
    <row r="880" spans="2:6" x14ac:dyDescent="0.35">
      <c r="B880" s="10"/>
      <c r="F880" t="str">
        <f t="shared" si="11"/>
        <v/>
      </c>
    </row>
    <row r="881" spans="2:6" x14ac:dyDescent="0.35">
      <c r="B881" s="10"/>
      <c r="F881" t="str">
        <f t="shared" si="11"/>
        <v/>
      </c>
    </row>
    <row r="882" spans="2:6" x14ac:dyDescent="0.35">
      <c r="B882" s="10"/>
      <c r="F882" t="str">
        <f t="shared" si="11"/>
        <v/>
      </c>
    </row>
    <row r="883" spans="2:6" x14ac:dyDescent="0.35">
      <c r="B883" s="10"/>
      <c r="F883" t="str">
        <f t="shared" si="11"/>
        <v/>
      </c>
    </row>
    <row r="884" spans="2:6" x14ac:dyDescent="0.35">
      <c r="B884" s="10"/>
      <c r="F884" t="str">
        <f t="shared" si="11"/>
        <v/>
      </c>
    </row>
    <row r="885" spans="2:6" x14ac:dyDescent="0.35">
      <c r="B885" s="10"/>
      <c r="F885" t="str">
        <f t="shared" si="11"/>
        <v/>
      </c>
    </row>
    <row r="886" spans="2:6" x14ac:dyDescent="0.35">
      <c r="B886" s="10"/>
      <c r="F886" t="str">
        <f t="shared" si="11"/>
        <v/>
      </c>
    </row>
    <row r="887" spans="2:6" x14ac:dyDescent="0.35">
      <c r="B887" s="10"/>
      <c r="F887" t="str">
        <f t="shared" si="11"/>
        <v/>
      </c>
    </row>
    <row r="888" spans="2:6" x14ac:dyDescent="0.35">
      <c r="B888" s="10"/>
      <c r="F888" t="str">
        <f t="shared" si="11"/>
        <v/>
      </c>
    </row>
    <row r="889" spans="2:6" x14ac:dyDescent="0.35">
      <c r="B889" s="10"/>
      <c r="F889" t="str">
        <f t="shared" si="11"/>
        <v/>
      </c>
    </row>
    <row r="890" spans="2:6" x14ac:dyDescent="0.35">
      <c r="B890" s="10"/>
      <c r="F890" t="str">
        <f t="shared" si="11"/>
        <v/>
      </c>
    </row>
    <row r="891" spans="2:6" x14ac:dyDescent="0.35">
      <c r="B891" s="10"/>
      <c r="F891" t="str">
        <f t="shared" si="11"/>
        <v/>
      </c>
    </row>
    <row r="892" spans="2:6" x14ac:dyDescent="0.35">
      <c r="B892" s="10"/>
      <c r="F892" t="str">
        <f t="shared" si="11"/>
        <v/>
      </c>
    </row>
    <row r="893" spans="2:6" x14ac:dyDescent="0.35">
      <c r="B893" s="10"/>
      <c r="F893" t="str">
        <f t="shared" si="11"/>
        <v/>
      </c>
    </row>
    <row r="894" spans="2:6" x14ac:dyDescent="0.35">
      <c r="B894" s="10"/>
      <c r="F894" t="str">
        <f t="shared" si="11"/>
        <v/>
      </c>
    </row>
    <row r="895" spans="2:6" x14ac:dyDescent="0.35">
      <c r="B895" s="10"/>
      <c r="F895" t="str">
        <f t="shared" si="11"/>
        <v/>
      </c>
    </row>
    <row r="896" spans="2:6" x14ac:dyDescent="0.35">
      <c r="B896" s="10"/>
      <c r="F896" t="str">
        <f t="shared" si="11"/>
        <v/>
      </c>
    </row>
    <row r="897" spans="2:6" x14ac:dyDescent="0.35">
      <c r="B897" s="10"/>
      <c r="F897" t="str">
        <f t="shared" si="11"/>
        <v/>
      </c>
    </row>
    <row r="898" spans="2:6" x14ac:dyDescent="0.35">
      <c r="B898" s="10"/>
      <c r="F898" t="str">
        <f t="shared" ref="F898:F961" si="12">IF(LEFT(D898,3)="นาย","ชาย",IF(LEFT(D898,3)="นาง","หญิง",""))</f>
        <v/>
      </c>
    </row>
    <row r="899" spans="2:6" x14ac:dyDescent="0.35">
      <c r="B899" s="10"/>
      <c r="F899" t="str">
        <f t="shared" si="12"/>
        <v/>
      </c>
    </row>
    <row r="900" spans="2:6" x14ac:dyDescent="0.35">
      <c r="B900" s="10"/>
      <c r="F900" t="str">
        <f t="shared" si="12"/>
        <v/>
      </c>
    </row>
    <row r="901" spans="2:6" x14ac:dyDescent="0.35">
      <c r="B901" s="10"/>
      <c r="F901" t="str">
        <f t="shared" si="12"/>
        <v/>
      </c>
    </row>
    <row r="902" spans="2:6" x14ac:dyDescent="0.35">
      <c r="B902" s="10"/>
      <c r="F902" t="str">
        <f t="shared" si="12"/>
        <v/>
      </c>
    </row>
    <row r="903" spans="2:6" x14ac:dyDescent="0.35">
      <c r="B903" s="10"/>
      <c r="F903" t="str">
        <f t="shared" si="12"/>
        <v/>
      </c>
    </row>
    <row r="904" spans="2:6" x14ac:dyDescent="0.35">
      <c r="B904" s="10"/>
      <c r="F904" t="str">
        <f t="shared" si="12"/>
        <v/>
      </c>
    </row>
    <row r="905" spans="2:6" x14ac:dyDescent="0.35">
      <c r="B905" s="10"/>
      <c r="F905" t="str">
        <f t="shared" si="12"/>
        <v/>
      </c>
    </row>
    <row r="906" spans="2:6" x14ac:dyDescent="0.35">
      <c r="B906" s="10"/>
      <c r="F906" t="str">
        <f t="shared" si="12"/>
        <v/>
      </c>
    </row>
    <row r="907" spans="2:6" x14ac:dyDescent="0.35">
      <c r="B907" s="10"/>
      <c r="F907" t="str">
        <f t="shared" si="12"/>
        <v/>
      </c>
    </row>
    <row r="908" spans="2:6" x14ac:dyDescent="0.35">
      <c r="B908" s="10"/>
      <c r="F908" t="str">
        <f t="shared" si="12"/>
        <v/>
      </c>
    </row>
    <row r="909" spans="2:6" x14ac:dyDescent="0.35">
      <c r="B909" s="10"/>
      <c r="F909" t="str">
        <f t="shared" si="12"/>
        <v/>
      </c>
    </row>
    <row r="910" spans="2:6" x14ac:dyDescent="0.35">
      <c r="B910" s="10"/>
      <c r="F910" t="str">
        <f t="shared" si="12"/>
        <v/>
      </c>
    </row>
    <row r="911" spans="2:6" x14ac:dyDescent="0.35">
      <c r="B911" s="10"/>
      <c r="F911" t="str">
        <f t="shared" si="12"/>
        <v/>
      </c>
    </row>
    <row r="912" spans="2:6" x14ac:dyDescent="0.35">
      <c r="B912" s="10"/>
      <c r="F912" t="str">
        <f t="shared" si="12"/>
        <v/>
      </c>
    </row>
    <row r="913" spans="2:6" x14ac:dyDescent="0.35">
      <c r="B913" s="10"/>
      <c r="F913" t="str">
        <f t="shared" si="12"/>
        <v/>
      </c>
    </row>
    <row r="914" spans="2:6" x14ac:dyDescent="0.35">
      <c r="B914" s="10"/>
      <c r="F914" t="str">
        <f t="shared" si="12"/>
        <v/>
      </c>
    </row>
    <row r="915" spans="2:6" x14ac:dyDescent="0.35">
      <c r="B915" s="10"/>
      <c r="F915" t="str">
        <f t="shared" si="12"/>
        <v/>
      </c>
    </row>
    <row r="916" spans="2:6" x14ac:dyDescent="0.35">
      <c r="B916" s="10"/>
      <c r="F916" t="str">
        <f t="shared" si="12"/>
        <v/>
      </c>
    </row>
    <row r="917" spans="2:6" x14ac:dyDescent="0.35">
      <c r="B917" s="10"/>
      <c r="F917" t="str">
        <f t="shared" si="12"/>
        <v/>
      </c>
    </row>
    <row r="918" spans="2:6" x14ac:dyDescent="0.35">
      <c r="B918" s="10"/>
      <c r="F918" t="str">
        <f t="shared" si="12"/>
        <v/>
      </c>
    </row>
    <row r="919" spans="2:6" x14ac:dyDescent="0.35">
      <c r="B919" s="10"/>
      <c r="F919" t="str">
        <f t="shared" si="12"/>
        <v/>
      </c>
    </row>
    <row r="920" spans="2:6" x14ac:dyDescent="0.35">
      <c r="B920" s="10"/>
      <c r="F920" t="str">
        <f t="shared" si="12"/>
        <v/>
      </c>
    </row>
    <row r="921" spans="2:6" x14ac:dyDescent="0.35">
      <c r="B921" s="10"/>
      <c r="F921" t="str">
        <f t="shared" si="12"/>
        <v/>
      </c>
    </row>
    <row r="922" spans="2:6" x14ac:dyDescent="0.35">
      <c r="B922" s="10"/>
      <c r="F922" t="str">
        <f t="shared" si="12"/>
        <v/>
      </c>
    </row>
    <row r="923" spans="2:6" x14ac:dyDescent="0.35">
      <c r="B923" s="10"/>
      <c r="F923" t="str">
        <f t="shared" si="12"/>
        <v/>
      </c>
    </row>
    <row r="924" spans="2:6" x14ac:dyDescent="0.35">
      <c r="B924" s="10"/>
      <c r="F924" t="str">
        <f t="shared" si="12"/>
        <v/>
      </c>
    </row>
    <row r="925" spans="2:6" x14ac:dyDescent="0.35">
      <c r="B925" s="10"/>
      <c r="F925" t="str">
        <f t="shared" si="12"/>
        <v/>
      </c>
    </row>
    <row r="926" spans="2:6" x14ac:dyDescent="0.35">
      <c r="B926" s="10"/>
      <c r="F926" t="str">
        <f t="shared" si="12"/>
        <v/>
      </c>
    </row>
    <row r="927" spans="2:6" x14ac:dyDescent="0.35">
      <c r="B927" s="10"/>
      <c r="F927" t="str">
        <f t="shared" si="12"/>
        <v/>
      </c>
    </row>
    <row r="928" spans="2:6" x14ac:dyDescent="0.35">
      <c r="B928" s="10"/>
      <c r="F928" t="str">
        <f t="shared" si="12"/>
        <v/>
      </c>
    </row>
    <row r="929" spans="2:6" x14ac:dyDescent="0.35">
      <c r="B929" s="10"/>
      <c r="F929" t="str">
        <f t="shared" si="12"/>
        <v/>
      </c>
    </row>
    <row r="930" spans="2:6" x14ac:dyDescent="0.35">
      <c r="B930" s="10"/>
      <c r="F930" t="str">
        <f t="shared" si="12"/>
        <v/>
      </c>
    </row>
    <row r="931" spans="2:6" x14ac:dyDescent="0.35">
      <c r="B931" s="10"/>
      <c r="F931" t="str">
        <f t="shared" si="12"/>
        <v/>
      </c>
    </row>
    <row r="932" spans="2:6" x14ac:dyDescent="0.35">
      <c r="B932" s="10"/>
      <c r="F932" t="str">
        <f t="shared" si="12"/>
        <v/>
      </c>
    </row>
    <row r="933" spans="2:6" x14ac:dyDescent="0.35">
      <c r="B933" s="10"/>
      <c r="F933" t="str">
        <f t="shared" si="12"/>
        <v/>
      </c>
    </row>
    <row r="934" spans="2:6" x14ac:dyDescent="0.35">
      <c r="B934" s="10"/>
      <c r="F934" t="str">
        <f t="shared" si="12"/>
        <v/>
      </c>
    </row>
    <row r="935" spans="2:6" x14ac:dyDescent="0.35">
      <c r="B935" s="10"/>
      <c r="F935" t="str">
        <f t="shared" si="12"/>
        <v/>
      </c>
    </row>
    <row r="936" spans="2:6" x14ac:dyDescent="0.35">
      <c r="B936" s="10"/>
      <c r="F936" t="str">
        <f t="shared" si="12"/>
        <v/>
      </c>
    </row>
    <row r="937" spans="2:6" x14ac:dyDescent="0.35">
      <c r="B937" s="10"/>
      <c r="F937" t="str">
        <f t="shared" si="12"/>
        <v/>
      </c>
    </row>
    <row r="938" spans="2:6" x14ac:dyDescent="0.35">
      <c r="B938" s="10"/>
      <c r="F938" t="str">
        <f t="shared" si="12"/>
        <v/>
      </c>
    </row>
    <row r="939" spans="2:6" x14ac:dyDescent="0.35">
      <c r="B939" s="10"/>
      <c r="F939" t="str">
        <f t="shared" si="12"/>
        <v/>
      </c>
    </row>
    <row r="940" spans="2:6" x14ac:dyDescent="0.35">
      <c r="B940" s="10"/>
      <c r="F940" t="str">
        <f t="shared" si="12"/>
        <v/>
      </c>
    </row>
    <row r="941" spans="2:6" x14ac:dyDescent="0.35">
      <c r="B941" s="10"/>
      <c r="F941" t="str">
        <f t="shared" si="12"/>
        <v/>
      </c>
    </row>
    <row r="942" spans="2:6" x14ac:dyDescent="0.35">
      <c r="B942" s="10"/>
      <c r="F942" t="str">
        <f t="shared" si="12"/>
        <v/>
      </c>
    </row>
    <row r="943" spans="2:6" x14ac:dyDescent="0.35">
      <c r="B943" s="10"/>
      <c r="F943" t="str">
        <f t="shared" si="12"/>
        <v/>
      </c>
    </row>
    <row r="944" spans="2:6" x14ac:dyDescent="0.35">
      <c r="B944" s="10"/>
      <c r="F944" t="str">
        <f t="shared" si="12"/>
        <v/>
      </c>
    </row>
    <row r="945" spans="2:6" x14ac:dyDescent="0.35">
      <c r="B945" s="10"/>
      <c r="F945" t="str">
        <f t="shared" si="12"/>
        <v/>
      </c>
    </row>
    <row r="946" spans="2:6" x14ac:dyDescent="0.35">
      <c r="B946" s="10"/>
      <c r="F946" t="str">
        <f t="shared" si="12"/>
        <v/>
      </c>
    </row>
    <row r="947" spans="2:6" x14ac:dyDescent="0.35">
      <c r="B947" s="10"/>
      <c r="F947" t="str">
        <f t="shared" si="12"/>
        <v/>
      </c>
    </row>
    <row r="948" spans="2:6" x14ac:dyDescent="0.35">
      <c r="B948" s="10"/>
      <c r="F948" t="str">
        <f t="shared" si="12"/>
        <v/>
      </c>
    </row>
    <row r="949" spans="2:6" x14ac:dyDescent="0.35">
      <c r="B949" s="10"/>
      <c r="F949" t="str">
        <f t="shared" si="12"/>
        <v/>
      </c>
    </row>
    <row r="950" spans="2:6" x14ac:dyDescent="0.35">
      <c r="B950" s="10"/>
      <c r="F950" t="str">
        <f t="shared" si="12"/>
        <v/>
      </c>
    </row>
    <row r="951" spans="2:6" x14ac:dyDescent="0.35">
      <c r="B951" s="10"/>
      <c r="F951" t="str">
        <f t="shared" si="12"/>
        <v/>
      </c>
    </row>
    <row r="952" spans="2:6" x14ac:dyDescent="0.35">
      <c r="B952" s="10"/>
      <c r="F952" t="str">
        <f t="shared" si="12"/>
        <v/>
      </c>
    </row>
    <row r="953" spans="2:6" x14ac:dyDescent="0.35">
      <c r="B953" s="10"/>
      <c r="F953" t="str">
        <f t="shared" si="12"/>
        <v/>
      </c>
    </row>
    <row r="954" spans="2:6" x14ac:dyDescent="0.35">
      <c r="B954" s="10"/>
      <c r="F954" t="str">
        <f t="shared" si="12"/>
        <v/>
      </c>
    </row>
    <row r="955" spans="2:6" x14ac:dyDescent="0.35">
      <c r="B955" s="10"/>
      <c r="F955" t="str">
        <f t="shared" si="12"/>
        <v/>
      </c>
    </row>
    <row r="956" spans="2:6" x14ac:dyDescent="0.35">
      <c r="B956" s="10"/>
      <c r="F956" t="str">
        <f t="shared" si="12"/>
        <v/>
      </c>
    </row>
    <row r="957" spans="2:6" x14ac:dyDescent="0.35">
      <c r="B957" s="10"/>
      <c r="F957" t="str">
        <f t="shared" si="12"/>
        <v/>
      </c>
    </row>
    <row r="958" spans="2:6" x14ac:dyDescent="0.35">
      <c r="B958" s="10"/>
      <c r="F958" t="str">
        <f t="shared" si="12"/>
        <v/>
      </c>
    </row>
    <row r="959" spans="2:6" x14ac:dyDescent="0.35">
      <c r="B959" s="10"/>
      <c r="F959" t="str">
        <f t="shared" si="12"/>
        <v/>
      </c>
    </row>
    <row r="960" spans="2:6" x14ac:dyDescent="0.35">
      <c r="B960" s="10"/>
      <c r="F960" t="str">
        <f t="shared" si="12"/>
        <v/>
      </c>
    </row>
    <row r="961" spans="2:6" x14ac:dyDescent="0.35">
      <c r="B961" s="10"/>
      <c r="F961" t="str">
        <f t="shared" si="12"/>
        <v/>
      </c>
    </row>
    <row r="962" spans="2:6" x14ac:dyDescent="0.35">
      <c r="B962" s="10"/>
      <c r="F962" t="str">
        <f t="shared" ref="F962:F1025" si="13">IF(LEFT(D962,3)="นาย","ชาย",IF(LEFT(D962,3)="นาง","หญิง",""))</f>
        <v/>
      </c>
    </row>
    <row r="963" spans="2:6" x14ac:dyDescent="0.35">
      <c r="B963" s="10"/>
      <c r="F963" t="str">
        <f t="shared" si="13"/>
        <v/>
      </c>
    </row>
    <row r="964" spans="2:6" x14ac:dyDescent="0.35">
      <c r="B964" s="10"/>
      <c r="F964" t="str">
        <f t="shared" si="13"/>
        <v/>
      </c>
    </row>
    <row r="965" spans="2:6" x14ac:dyDescent="0.35">
      <c r="B965" s="10"/>
      <c r="F965" t="str">
        <f t="shared" si="13"/>
        <v/>
      </c>
    </row>
    <row r="966" spans="2:6" x14ac:dyDescent="0.35">
      <c r="B966" s="10"/>
      <c r="F966" t="str">
        <f t="shared" si="13"/>
        <v/>
      </c>
    </row>
    <row r="967" spans="2:6" x14ac:dyDescent="0.35">
      <c r="B967" s="10"/>
      <c r="F967" t="str">
        <f t="shared" si="13"/>
        <v/>
      </c>
    </row>
    <row r="968" spans="2:6" x14ac:dyDescent="0.35">
      <c r="B968" s="10"/>
      <c r="F968" t="str">
        <f t="shared" si="13"/>
        <v/>
      </c>
    </row>
    <row r="969" spans="2:6" x14ac:dyDescent="0.35">
      <c r="B969" s="10"/>
      <c r="F969" t="str">
        <f t="shared" si="13"/>
        <v/>
      </c>
    </row>
    <row r="970" spans="2:6" x14ac:dyDescent="0.35">
      <c r="B970" s="10"/>
      <c r="F970" t="str">
        <f t="shared" si="13"/>
        <v/>
      </c>
    </row>
    <row r="971" spans="2:6" x14ac:dyDescent="0.35">
      <c r="B971" s="10"/>
      <c r="F971" t="str">
        <f t="shared" si="13"/>
        <v/>
      </c>
    </row>
    <row r="972" spans="2:6" x14ac:dyDescent="0.35">
      <c r="B972" s="10"/>
      <c r="F972" t="str">
        <f t="shared" si="13"/>
        <v/>
      </c>
    </row>
    <row r="973" spans="2:6" x14ac:dyDescent="0.35">
      <c r="B973" s="10"/>
      <c r="F973" t="str">
        <f t="shared" si="13"/>
        <v/>
      </c>
    </row>
    <row r="974" spans="2:6" x14ac:dyDescent="0.35">
      <c r="B974" s="10"/>
      <c r="F974" t="str">
        <f t="shared" si="13"/>
        <v/>
      </c>
    </row>
    <row r="975" spans="2:6" x14ac:dyDescent="0.35">
      <c r="B975" s="10"/>
      <c r="F975" t="str">
        <f t="shared" si="13"/>
        <v/>
      </c>
    </row>
    <row r="976" spans="2:6" x14ac:dyDescent="0.35">
      <c r="B976" s="10"/>
      <c r="F976" t="str">
        <f t="shared" si="13"/>
        <v/>
      </c>
    </row>
    <row r="977" spans="2:6" x14ac:dyDescent="0.35">
      <c r="B977" s="10"/>
      <c r="F977" t="str">
        <f t="shared" si="13"/>
        <v/>
      </c>
    </row>
    <row r="978" spans="2:6" x14ac:dyDescent="0.35">
      <c r="B978" s="10"/>
      <c r="F978" t="str">
        <f t="shared" si="13"/>
        <v/>
      </c>
    </row>
    <row r="979" spans="2:6" x14ac:dyDescent="0.35">
      <c r="B979" s="10"/>
      <c r="F979" t="str">
        <f t="shared" si="13"/>
        <v/>
      </c>
    </row>
    <row r="980" spans="2:6" x14ac:dyDescent="0.35">
      <c r="B980" s="10"/>
      <c r="F980" t="str">
        <f t="shared" si="13"/>
        <v/>
      </c>
    </row>
    <row r="981" spans="2:6" x14ac:dyDescent="0.35">
      <c r="B981" s="10"/>
      <c r="F981" t="str">
        <f t="shared" si="13"/>
        <v/>
      </c>
    </row>
    <row r="982" spans="2:6" x14ac:dyDescent="0.35">
      <c r="B982" s="10"/>
      <c r="F982" t="str">
        <f t="shared" si="13"/>
        <v/>
      </c>
    </row>
    <row r="983" spans="2:6" x14ac:dyDescent="0.35">
      <c r="B983" s="10"/>
      <c r="F983" t="str">
        <f t="shared" si="13"/>
        <v/>
      </c>
    </row>
    <row r="984" spans="2:6" x14ac:dyDescent="0.35">
      <c r="B984" s="10"/>
      <c r="F984" t="str">
        <f t="shared" si="13"/>
        <v/>
      </c>
    </row>
    <row r="985" spans="2:6" x14ac:dyDescent="0.35">
      <c r="B985" s="10"/>
      <c r="F985" t="str">
        <f t="shared" si="13"/>
        <v/>
      </c>
    </row>
    <row r="986" spans="2:6" x14ac:dyDescent="0.35">
      <c r="B986" s="10"/>
      <c r="F986" t="str">
        <f t="shared" si="13"/>
        <v/>
      </c>
    </row>
    <row r="987" spans="2:6" x14ac:dyDescent="0.35">
      <c r="B987" s="10"/>
      <c r="F987" t="str">
        <f t="shared" si="13"/>
        <v/>
      </c>
    </row>
    <row r="988" spans="2:6" x14ac:dyDescent="0.35">
      <c r="B988" s="10"/>
      <c r="F988" t="str">
        <f t="shared" si="13"/>
        <v/>
      </c>
    </row>
    <row r="989" spans="2:6" x14ac:dyDescent="0.35">
      <c r="B989" s="10"/>
      <c r="F989" t="str">
        <f t="shared" si="13"/>
        <v/>
      </c>
    </row>
    <row r="990" spans="2:6" x14ac:dyDescent="0.35">
      <c r="B990" s="10"/>
      <c r="F990" t="str">
        <f t="shared" si="13"/>
        <v/>
      </c>
    </row>
    <row r="991" spans="2:6" x14ac:dyDescent="0.35">
      <c r="B991" s="10"/>
      <c r="F991" t="str">
        <f t="shared" si="13"/>
        <v/>
      </c>
    </row>
    <row r="992" spans="2:6" x14ac:dyDescent="0.35">
      <c r="B992" s="10"/>
      <c r="F992" t="str">
        <f t="shared" si="13"/>
        <v/>
      </c>
    </row>
    <row r="993" spans="2:6" x14ac:dyDescent="0.35">
      <c r="B993" s="10"/>
      <c r="F993" t="str">
        <f t="shared" si="13"/>
        <v/>
      </c>
    </row>
    <row r="994" spans="2:6" x14ac:dyDescent="0.35">
      <c r="B994" s="10"/>
      <c r="F994" t="str">
        <f t="shared" si="13"/>
        <v/>
      </c>
    </row>
    <row r="995" spans="2:6" x14ac:dyDescent="0.35">
      <c r="B995" s="10"/>
      <c r="F995" t="str">
        <f t="shared" si="13"/>
        <v/>
      </c>
    </row>
    <row r="996" spans="2:6" x14ac:dyDescent="0.35">
      <c r="B996" s="10"/>
      <c r="F996" t="str">
        <f t="shared" si="13"/>
        <v/>
      </c>
    </row>
    <row r="997" spans="2:6" x14ac:dyDescent="0.35">
      <c r="B997" s="10"/>
      <c r="F997" t="str">
        <f t="shared" si="13"/>
        <v/>
      </c>
    </row>
    <row r="998" spans="2:6" x14ac:dyDescent="0.35">
      <c r="B998" s="10"/>
      <c r="F998" t="str">
        <f t="shared" si="13"/>
        <v/>
      </c>
    </row>
    <row r="999" spans="2:6" x14ac:dyDescent="0.35">
      <c r="B999" s="10"/>
      <c r="F999" t="str">
        <f t="shared" si="13"/>
        <v/>
      </c>
    </row>
    <row r="1000" spans="2:6" x14ac:dyDescent="0.35">
      <c r="B1000" s="10"/>
      <c r="F1000" t="str">
        <f t="shared" si="13"/>
        <v/>
      </c>
    </row>
    <row r="1001" spans="2:6" x14ac:dyDescent="0.35">
      <c r="B1001" s="10"/>
      <c r="F1001" t="str">
        <f t="shared" si="13"/>
        <v/>
      </c>
    </row>
    <row r="1002" spans="2:6" x14ac:dyDescent="0.35">
      <c r="B1002" s="10"/>
      <c r="F1002" t="str">
        <f t="shared" si="13"/>
        <v/>
      </c>
    </row>
    <row r="1003" spans="2:6" x14ac:dyDescent="0.35">
      <c r="B1003" s="10"/>
      <c r="F1003" t="str">
        <f t="shared" si="13"/>
        <v/>
      </c>
    </row>
    <row r="1004" spans="2:6" x14ac:dyDescent="0.35">
      <c r="B1004" s="10"/>
      <c r="F1004" t="str">
        <f t="shared" si="13"/>
        <v/>
      </c>
    </row>
    <row r="1005" spans="2:6" x14ac:dyDescent="0.35">
      <c r="B1005" s="10"/>
      <c r="F1005" t="str">
        <f t="shared" si="13"/>
        <v/>
      </c>
    </row>
    <row r="1006" spans="2:6" x14ac:dyDescent="0.35">
      <c r="B1006" s="10"/>
      <c r="F1006" t="str">
        <f t="shared" si="13"/>
        <v/>
      </c>
    </row>
    <row r="1007" spans="2:6" x14ac:dyDescent="0.35">
      <c r="B1007" s="10"/>
      <c r="F1007" t="str">
        <f t="shared" si="13"/>
        <v/>
      </c>
    </row>
    <row r="1008" spans="2:6" x14ac:dyDescent="0.35">
      <c r="B1008" s="10"/>
      <c r="F1008" t="str">
        <f t="shared" si="13"/>
        <v/>
      </c>
    </row>
    <row r="1009" spans="2:6" x14ac:dyDescent="0.35">
      <c r="B1009" s="10"/>
      <c r="F1009" t="str">
        <f t="shared" si="13"/>
        <v/>
      </c>
    </row>
    <row r="1010" spans="2:6" x14ac:dyDescent="0.35">
      <c r="B1010" s="10"/>
      <c r="F1010" t="str">
        <f t="shared" si="13"/>
        <v/>
      </c>
    </row>
    <row r="1011" spans="2:6" x14ac:dyDescent="0.35">
      <c r="B1011" s="10"/>
      <c r="F1011" t="str">
        <f t="shared" si="13"/>
        <v/>
      </c>
    </row>
    <row r="1012" spans="2:6" x14ac:dyDescent="0.35">
      <c r="B1012" s="10"/>
      <c r="F1012" t="str">
        <f t="shared" si="13"/>
        <v/>
      </c>
    </row>
    <row r="1013" spans="2:6" x14ac:dyDescent="0.35">
      <c r="B1013" s="10"/>
      <c r="F1013" t="str">
        <f t="shared" si="13"/>
        <v/>
      </c>
    </row>
    <row r="1014" spans="2:6" x14ac:dyDescent="0.35">
      <c r="B1014" s="10"/>
      <c r="F1014" t="str">
        <f t="shared" si="13"/>
        <v/>
      </c>
    </row>
    <row r="1015" spans="2:6" x14ac:dyDescent="0.35">
      <c r="B1015" s="10"/>
      <c r="F1015" t="str">
        <f t="shared" si="13"/>
        <v/>
      </c>
    </row>
    <row r="1016" spans="2:6" x14ac:dyDescent="0.35">
      <c r="B1016" s="10"/>
      <c r="F1016" t="str">
        <f t="shared" si="13"/>
        <v/>
      </c>
    </row>
    <row r="1017" spans="2:6" x14ac:dyDescent="0.35">
      <c r="B1017" s="10"/>
      <c r="F1017" t="str">
        <f t="shared" si="13"/>
        <v/>
      </c>
    </row>
    <row r="1018" spans="2:6" x14ac:dyDescent="0.35">
      <c r="B1018" s="10"/>
      <c r="F1018" t="str">
        <f t="shared" si="13"/>
        <v/>
      </c>
    </row>
    <row r="1019" spans="2:6" x14ac:dyDescent="0.35">
      <c r="B1019" s="10"/>
      <c r="F1019" t="str">
        <f t="shared" si="13"/>
        <v/>
      </c>
    </row>
    <row r="1020" spans="2:6" x14ac:dyDescent="0.35">
      <c r="B1020" s="10"/>
      <c r="F1020" t="str">
        <f t="shared" si="13"/>
        <v/>
      </c>
    </row>
    <row r="1021" spans="2:6" x14ac:dyDescent="0.35">
      <c r="B1021" s="10"/>
      <c r="F1021" t="str">
        <f t="shared" si="13"/>
        <v/>
      </c>
    </row>
    <row r="1022" spans="2:6" x14ac:dyDescent="0.35">
      <c r="B1022" s="10"/>
      <c r="F1022" t="str">
        <f t="shared" si="13"/>
        <v/>
      </c>
    </row>
    <row r="1023" spans="2:6" x14ac:dyDescent="0.35">
      <c r="B1023" s="10"/>
      <c r="F1023" t="str">
        <f t="shared" si="13"/>
        <v/>
      </c>
    </row>
    <row r="1024" spans="2:6" x14ac:dyDescent="0.35">
      <c r="B1024" s="10"/>
      <c r="F1024" t="str">
        <f t="shared" si="13"/>
        <v/>
      </c>
    </row>
    <row r="1025" spans="2:6" x14ac:dyDescent="0.35">
      <c r="B1025" s="10"/>
      <c r="F1025" t="str">
        <f t="shared" si="13"/>
        <v/>
      </c>
    </row>
    <row r="1026" spans="2:6" x14ac:dyDescent="0.35">
      <c r="B1026" s="10"/>
      <c r="F1026" t="str">
        <f t="shared" ref="F1026:F1089" si="14">IF(LEFT(D1026,3)="นาย","ชาย",IF(LEFT(D1026,3)="นาง","หญิง",""))</f>
        <v/>
      </c>
    </row>
    <row r="1027" spans="2:6" x14ac:dyDescent="0.35">
      <c r="B1027" s="10"/>
      <c r="F1027" t="str">
        <f t="shared" si="14"/>
        <v/>
      </c>
    </row>
    <row r="1028" spans="2:6" x14ac:dyDescent="0.35">
      <c r="B1028" s="10"/>
      <c r="F1028" t="str">
        <f t="shared" si="14"/>
        <v/>
      </c>
    </row>
    <row r="1029" spans="2:6" x14ac:dyDescent="0.35">
      <c r="B1029" s="10"/>
      <c r="F1029" t="str">
        <f t="shared" si="14"/>
        <v/>
      </c>
    </row>
    <row r="1030" spans="2:6" x14ac:dyDescent="0.35">
      <c r="B1030" s="10"/>
      <c r="F1030" t="str">
        <f t="shared" si="14"/>
        <v/>
      </c>
    </row>
    <row r="1031" spans="2:6" x14ac:dyDescent="0.35">
      <c r="B1031" s="10"/>
      <c r="F1031" t="str">
        <f t="shared" si="14"/>
        <v/>
      </c>
    </row>
    <row r="1032" spans="2:6" x14ac:dyDescent="0.35">
      <c r="B1032" s="10"/>
      <c r="F1032" t="str">
        <f t="shared" si="14"/>
        <v/>
      </c>
    </row>
    <row r="1033" spans="2:6" x14ac:dyDescent="0.35">
      <c r="B1033" s="10"/>
      <c r="F1033" t="str">
        <f t="shared" si="14"/>
        <v/>
      </c>
    </row>
    <row r="1034" spans="2:6" x14ac:dyDescent="0.35">
      <c r="B1034" s="10"/>
      <c r="F1034" t="str">
        <f t="shared" si="14"/>
        <v/>
      </c>
    </row>
    <row r="1035" spans="2:6" x14ac:dyDescent="0.35">
      <c r="B1035" s="10"/>
      <c r="F1035" t="str">
        <f t="shared" si="14"/>
        <v/>
      </c>
    </row>
    <row r="1036" spans="2:6" x14ac:dyDescent="0.35">
      <c r="B1036" s="10"/>
      <c r="F1036" t="str">
        <f t="shared" si="14"/>
        <v/>
      </c>
    </row>
    <row r="1037" spans="2:6" x14ac:dyDescent="0.35">
      <c r="B1037" s="10"/>
      <c r="F1037" t="str">
        <f t="shared" si="14"/>
        <v/>
      </c>
    </row>
    <row r="1038" spans="2:6" x14ac:dyDescent="0.35">
      <c r="B1038" s="10"/>
      <c r="F1038" t="str">
        <f t="shared" si="14"/>
        <v/>
      </c>
    </row>
    <row r="1039" spans="2:6" x14ac:dyDescent="0.35">
      <c r="B1039" s="10"/>
      <c r="F1039" t="str">
        <f t="shared" si="14"/>
        <v/>
      </c>
    </row>
    <row r="1040" spans="2:6" x14ac:dyDescent="0.35">
      <c r="B1040" s="10"/>
      <c r="F1040" t="str">
        <f t="shared" si="14"/>
        <v/>
      </c>
    </row>
    <row r="1041" spans="2:6" x14ac:dyDescent="0.35">
      <c r="B1041" s="10"/>
      <c r="F1041" t="str">
        <f t="shared" si="14"/>
        <v/>
      </c>
    </row>
    <row r="1042" spans="2:6" x14ac:dyDescent="0.35">
      <c r="B1042" s="10"/>
      <c r="F1042" t="str">
        <f t="shared" si="14"/>
        <v/>
      </c>
    </row>
    <row r="1043" spans="2:6" x14ac:dyDescent="0.35">
      <c r="B1043" s="10"/>
      <c r="F1043" t="str">
        <f t="shared" si="14"/>
        <v/>
      </c>
    </row>
    <row r="1044" spans="2:6" x14ac:dyDescent="0.35">
      <c r="B1044" s="10"/>
      <c r="F1044" t="str">
        <f t="shared" si="14"/>
        <v/>
      </c>
    </row>
    <row r="1045" spans="2:6" x14ac:dyDescent="0.35">
      <c r="B1045" s="10"/>
      <c r="F1045" t="str">
        <f t="shared" si="14"/>
        <v/>
      </c>
    </row>
    <row r="1046" spans="2:6" x14ac:dyDescent="0.35">
      <c r="B1046" s="10"/>
      <c r="F1046" t="str">
        <f t="shared" si="14"/>
        <v/>
      </c>
    </row>
    <row r="1047" spans="2:6" x14ac:dyDescent="0.35">
      <c r="B1047" s="10"/>
      <c r="F1047" t="str">
        <f t="shared" si="14"/>
        <v/>
      </c>
    </row>
    <row r="1048" spans="2:6" x14ac:dyDescent="0.35">
      <c r="B1048" s="10"/>
      <c r="F1048" t="str">
        <f t="shared" si="14"/>
        <v/>
      </c>
    </row>
    <row r="1049" spans="2:6" x14ac:dyDescent="0.35">
      <c r="B1049" s="10"/>
      <c r="F1049" t="str">
        <f t="shared" si="14"/>
        <v/>
      </c>
    </row>
    <row r="1050" spans="2:6" x14ac:dyDescent="0.35">
      <c r="B1050" s="10"/>
      <c r="F1050" t="str">
        <f t="shared" si="14"/>
        <v/>
      </c>
    </row>
    <row r="1051" spans="2:6" x14ac:dyDescent="0.35">
      <c r="B1051" s="10"/>
      <c r="F1051" t="str">
        <f t="shared" si="14"/>
        <v/>
      </c>
    </row>
    <row r="1052" spans="2:6" x14ac:dyDescent="0.35">
      <c r="B1052" s="10"/>
      <c r="F1052" t="str">
        <f t="shared" si="14"/>
        <v/>
      </c>
    </row>
    <row r="1053" spans="2:6" x14ac:dyDescent="0.35">
      <c r="B1053" s="10"/>
      <c r="F1053" t="str">
        <f t="shared" si="14"/>
        <v/>
      </c>
    </row>
    <row r="1054" spans="2:6" x14ac:dyDescent="0.35">
      <c r="B1054" s="10"/>
      <c r="F1054" t="str">
        <f t="shared" si="14"/>
        <v/>
      </c>
    </row>
    <row r="1055" spans="2:6" x14ac:dyDescent="0.35">
      <c r="B1055" s="10"/>
      <c r="F1055" t="str">
        <f t="shared" si="14"/>
        <v/>
      </c>
    </row>
    <row r="1056" spans="2:6" x14ac:dyDescent="0.35">
      <c r="B1056" s="10"/>
      <c r="F1056" t="str">
        <f t="shared" si="14"/>
        <v/>
      </c>
    </row>
    <row r="1057" spans="2:6" x14ac:dyDescent="0.35">
      <c r="B1057" s="10"/>
      <c r="F1057" t="str">
        <f t="shared" si="14"/>
        <v/>
      </c>
    </row>
    <row r="1058" spans="2:6" x14ac:dyDescent="0.35">
      <c r="B1058" s="10"/>
      <c r="F1058" t="str">
        <f t="shared" si="14"/>
        <v/>
      </c>
    </row>
    <row r="1059" spans="2:6" x14ac:dyDescent="0.35">
      <c r="B1059" s="10"/>
      <c r="F1059" t="str">
        <f t="shared" si="14"/>
        <v/>
      </c>
    </row>
    <row r="1060" spans="2:6" x14ac:dyDescent="0.35">
      <c r="B1060" s="10"/>
      <c r="F1060" t="str">
        <f t="shared" si="14"/>
        <v/>
      </c>
    </row>
    <row r="1061" spans="2:6" x14ac:dyDescent="0.35">
      <c r="B1061" s="10"/>
      <c r="F1061" t="str">
        <f t="shared" si="14"/>
        <v/>
      </c>
    </row>
    <row r="1062" spans="2:6" x14ac:dyDescent="0.35">
      <c r="B1062" s="10"/>
      <c r="F1062" t="str">
        <f t="shared" si="14"/>
        <v/>
      </c>
    </row>
    <row r="1063" spans="2:6" x14ac:dyDescent="0.35">
      <c r="B1063" s="10"/>
      <c r="F1063" t="str">
        <f t="shared" si="14"/>
        <v/>
      </c>
    </row>
    <row r="1064" spans="2:6" x14ac:dyDescent="0.35">
      <c r="B1064" s="10"/>
      <c r="F1064" t="str">
        <f t="shared" si="14"/>
        <v/>
      </c>
    </row>
    <row r="1065" spans="2:6" x14ac:dyDescent="0.35">
      <c r="B1065" s="10"/>
      <c r="F1065" t="str">
        <f t="shared" si="14"/>
        <v/>
      </c>
    </row>
    <row r="1066" spans="2:6" x14ac:dyDescent="0.35">
      <c r="B1066" s="10"/>
      <c r="F1066" t="str">
        <f t="shared" si="14"/>
        <v/>
      </c>
    </row>
    <row r="1067" spans="2:6" x14ac:dyDescent="0.35">
      <c r="B1067" s="10"/>
      <c r="F1067" t="str">
        <f t="shared" si="14"/>
        <v/>
      </c>
    </row>
    <row r="1068" spans="2:6" x14ac:dyDescent="0.35">
      <c r="B1068" s="10"/>
      <c r="F1068" t="str">
        <f t="shared" si="14"/>
        <v/>
      </c>
    </row>
    <row r="1069" spans="2:6" x14ac:dyDescent="0.35">
      <c r="B1069" s="10"/>
      <c r="F1069" t="str">
        <f t="shared" si="14"/>
        <v/>
      </c>
    </row>
    <row r="1070" spans="2:6" x14ac:dyDescent="0.35">
      <c r="B1070" s="10"/>
      <c r="F1070" t="str">
        <f t="shared" si="14"/>
        <v/>
      </c>
    </row>
    <row r="1071" spans="2:6" x14ac:dyDescent="0.35">
      <c r="B1071" s="10"/>
      <c r="F1071" t="str">
        <f t="shared" si="14"/>
        <v/>
      </c>
    </row>
    <row r="1072" spans="2:6" x14ac:dyDescent="0.35">
      <c r="B1072" s="10"/>
      <c r="F1072" t="str">
        <f t="shared" si="14"/>
        <v/>
      </c>
    </row>
    <row r="1073" spans="2:6" x14ac:dyDescent="0.35">
      <c r="B1073" s="10"/>
      <c r="F1073" t="str">
        <f t="shared" si="14"/>
        <v/>
      </c>
    </row>
    <row r="1074" spans="2:6" x14ac:dyDescent="0.35">
      <c r="B1074" s="10"/>
      <c r="F1074" t="str">
        <f t="shared" si="14"/>
        <v/>
      </c>
    </row>
    <row r="1075" spans="2:6" x14ac:dyDescent="0.35">
      <c r="B1075" s="10"/>
      <c r="F1075" t="str">
        <f t="shared" si="14"/>
        <v/>
      </c>
    </row>
    <row r="1076" spans="2:6" x14ac:dyDescent="0.35">
      <c r="B1076" s="10"/>
      <c r="F1076" t="str">
        <f t="shared" si="14"/>
        <v/>
      </c>
    </row>
    <row r="1077" spans="2:6" x14ac:dyDescent="0.35">
      <c r="B1077" s="10"/>
      <c r="F1077" t="str">
        <f t="shared" si="14"/>
        <v/>
      </c>
    </row>
    <row r="1078" spans="2:6" x14ac:dyDescent="0.35">
      <c r="B1078" s="10"/>
      <c r="F1078" t="str">
        <f t="shared" si="14"/>
        <v/>
      </c>
    </row>
    <row r="1079" spans="2:6" x14ac:dyDescent="0.35">
      <c r="B1079" s="10"/>
      <c r="F1079" t="str">
        <f t="shared" si="14"/>
        <v/>
      </c>
    </row>
    <row r="1080" spans="2:6" x14ac:dyDescent="0.35">
      <c r="B1080" s="10"/>
      <c r="F1080" t="str">
        <f t="shared" si="14"/>
        <v/>
      </c>
    </row>
    <row r="1081" spans="2:6" x14ac:dyDescent="0.35">
      <c r="B1081" s="10"/>
      <c r="F1081" t="str">
        <f t="shared" si="14"/>
        <v/>
      </c>
    </row>
    <row r="1082" spans="2:6" x14ac:dyDescent="0.35">
      <c r="B1082" s="10"/>
      <c r="F1082" t="str">
        <f t="shared" si="14"/>
        <v/>
      </c>
    </row>
    <row r="1083" spans="2:6" x14ac:dyDescent="0.35">
      <c r="B1083" s="10"/>
      <c r="F1083" t="str">
        <f t="shared" si="14"/>
        <v/>
      </c>
    </row>
    <row r="1084" spans="2:6" x14ac:dyDescent="0.35">
      <c r="B1084" s="10"/>
      <c r="F1084" t="str">
        <f t="shared" si="14"/>
        <v/>
      </c>
    </row>
    <row r="1085" spans="2:6" x14ac:dyDescent="0.35">
      <c r="B1085" s="10"/>
      <c r="F1085" t="str">
        <f t="shared" si="14"/>
        <v/>
      </c>
    </row>
    <row r="1086" spans="2:6" x14ac:dyDescent="0.35">
      <c r="B1086" s="10"/>
      <c r="F1086" t="str">
        <f t="shared" si="14"/>
        <v/>
      </c>
    </row>
    <row r="1087" spans="2:6" x14ac:dyDescent="0.35">
      <c r="B1087" s="10"/>
      <c r="F1087" t="str">
        <f t="shared" si="14"/>
        <v/>
      </c>
    </row>
    <row r="1088" spans="2:6" x14ac:dyDescent="0.35">
      <c r="B1088" s="10"/>
      <c r="F1088" t="str">
        <f t="shared" si="14"/>
        <v/>
      </c>
    </row>
    <row r="1089" spans="2:6" x14ac:dyDescent="0.35">
      <c r="B1089" s="10"/>
      <c r="F1089" t="str">
        <f t="shared" si="14"/>
        <v/>
      </c>
    </row>
    <row r="1090" spans="2:6" x14ac:dyDescent="0.35">
      <c r="B1090" s="10"/>
      <c r="F1090" t="str">
        <f t="shared" ref="F1090:F1153" si="15">IF(LEFT(D1090,3)="นาย","ชาย",IF(LEFT(D1090,3)="นาง","หญิง",""))</f>
        <v/>
      </c>
    </row>
    <row r="1091" spans="2:6" x14ac:dyDescent="0.35">
      <c r="B1091" s="10"/>
      <c r="F1091" t="str">
        <f t="shared" si="15"/>
        <v/>
      </c>
    </row>
    <row r="1092" spans="2:6" x14ac:dyDescent="0.35">
      <c r="B1092" s="10"/>
      <c r="F1092" t="str">
        <f t="shared" si="15"/>
        <v/>
      </c>
    </row>
    <row r="1093" spans="2:6" x14ac:dyDescent="0.35">
      <c r="B1093" s="10"/>
      <c r="F1093" t="str">
        <f t="shared" si="15"/>
        <v/>
      </c>
    </row>
    <row r="1094" spans="2:6" x14ac:dyDescent="0.35">
      <c r="B1094" s="10"/>
      <c r="F1094" t="str">
        <f t="shared" si="15"/>
        <v/>
      </c>
    </row>
    <row r="1095" spans="2:6" x14ac:dyDescent="0.35">
      <c r="B1095" s="10"/>
      <c r="F1095" t="str">
        <f t="shared" si="15"/>
        <v/>
      </c>
    </row>
    <row r="1096" spans="2:6" x14ac:dyDescent="0.35">
      <c r="B1096" s="10"/>
      <c r="F1096" t="str">
        <f t="shared" si="15"/>
        <v/>
      </c>
    </row>
    <row r="1097" spans="2:6" x14ac:dyDescent="0.35">
      <c r="B1097" s="10"/>
      <c r="F1097" t="str">
        <f t="shared" si="15"/>
        <v/>
      </c>
    </row>
    <row r="1098" spans="2:6" x14ac:dyDescent="0.35">
      <c r="B1098" s="10"/>
      <c r="F1098" t="str">
        <f t="shared" si="15"/>
        <v/>
      </c>
    </row>
    <row r="1099" spans="2:6" x14ac:dyDescent="0.35">
      <c r="B1099" s="10"/>
      <c r="F1099" t="str">
        <f t="shared" si="15"/>
        <v/>
      </c>
    </row>
    <row r="1100" spans="2:6" x14ac:dyDescent="0.35">
      <c r="B1100" s="10"/>
      <c r="F1100" t="str">
        <f t="shared" si="15"/>
        <v/>
      </c>
    </row>
    <row r="1101" spans="2:6" x14ac:dyDescent="0.35">
      <c r="B1101" s="10"/>
      <c r="F1101" t="str">
        <f t="shared" si="15"/>
        <v/>
      </c>
    </row>
    <row r="1102" spans="2:6" x14ac:dyDescent="0.35">
      <c r="B1102" s="10"/>
      <c r="F1102" t="str">
        <f t="shared" si="15"/>
        <v/>
      </c>
    </row>
    <row r="1103" spans="2:6" x14ac:dyDescent="0.35">
      <c r="B1103" s="10"/>
      <c r="F1103" t="str">
        <f t="shared" si="15"/>
        <v/>
      </c>
    </row>
    <row r="1104" spans="2:6" x14ac:dyDescent="0.35">
      <c r="B1104" s="10"/>
      <c r="F1104" t="str">
        <f t="shared" si="15"/>
        <v/>
      </c>
    </row>
    <row r="1105" spans="2:6" x14ac:dyDescent="0.35">
      <c r="B1105" s="10"/>
      <c r="F1105" t="str">
        <f t="shared" si="15"/>
        <v/>
      </c>
    </row>
    <row r="1106" spans="2:6" x14ac:dyDescent="0.35">
      <c r="B1106" s="10"/>
      <c r="F1106" t="str">
        <f t="shared" si="15"/>
        <v/>
      </c>
    </row>
    <row r="1107" spans="2:6" x14ac:dyDescent="0.35">
      <c r="B1107" s="10"/>
      <c r="F1107" t="str">
        <f t="shared" si="15"/>
        <v/>
      </c>
    </row>
    <row r="1108" spans="2:6" x14ac:dyDescent="0.35">
      <c r="B1108" s="10"/>
      <c r="F1108" t="str">
        <f t="shared" si="15"/>
        <v/>
      </c>
    </row>
    <row r="1109" spans="2:6" x14ac:dyDescent="0.35">
      <c r="B1109" s="10"/>
      <c r="F1109" t="str">
        <f t="shared" si="15"/>
        <v/>
      </c>
    </row>
    <row r="1110" spans="2:6" x14ac:dyDescent="0.35">
      <c r="B1110" s="10"/>
      <c r="F1110" t="str">
        <f t="shared" si="15"/>
        <v/>
      </c>
    </row>
    <row r="1111" spans="2:6" x14ac:dyDescent="0.35">
      <c r="B1111" s="10"/>
      <c r="F1111" t="str">
        <f t="shared" si="15"/>
        <v/>
      </c>
    </row>
    <row r="1112" spans="2:6" x14ac:dyDescent="0.35">
      <c r="B1112" s="10"/>
      <c r="F1112" t="str">
        <f t="shared" si="15"/>
        <v/>
      </c>
    </row>
    <row r="1113" spans="2:6" x14ac:dyDescent="0.35">
      <c r="B1113" s="10"/>
      <c r="F1113" t="str">
        <f t="shared" si="15"/>
        <v/>
      </c>
    </row>
    <row r="1114" spans="2:6" x14ac:dyDescent="0.35">
      <c r="B1114" s="10"/>
      <c r="F1114" t="str">
        <f t="shared" si="15"/>
        <v/>
      </c>
    </row>
    <row r="1115" spans="2:6" x14ac:dyDescent="0.35">
      <c r="B1115" s="10"/>
      <c r="F1115" t="str">
        <f t="shared" si="15"/>
        <v/>
      </c>
    </row>
    <row r="1116" spans="2:6" x14ac:dyDescent="0.35">
      <c r="B1116" s="10"/>
      <c r="F1116" t="str">
        <f t="shared" si="15"/>
        <v/>
      </c>
    </row>
    <row r="1117" spans="2:6" x14ac:dyDescent="0.35">
      <c r="B1117" s="10"/>
      <c r="F1117" t="str">
        <f t="shared" si="15"/>
        <v/>
      </c>
    </row>
    <row r="1118" spans="2:6" x14ac:dyDescent="0.35">
      <c r="B1118" s="10"/>
      <c r="F1118" t="str">
        <f t="shared" si="15"/>
        <v/>
      </c>
    </row>
    <row r="1119" spans="2:6" x14ac:dyDescent="0.35">
      <c r="B1119" s="10"/>
      <c r="F1119" t="str">
        <f t="shared" si="15"/>
        <v/>
      </c>
    </row>
    <row r="1120" spans="2:6" x14ac:dyDescent="0.35">
      <c r="B1120" s="10"/>
      <c r="F1120" t="str">
        <f t="shared" si="15"/>
        <v/>
      </c>
    </row>
    <row r="1121" spans="2:6" x14ac:dyDescent="0.35">
      <c r="B1121" s="10"/>
      <c r="F1121" t="str">
        <f t="shared" si="15"/>
        <v/>
      </c>
    </row>
    <row r="1122" spans="2:6" x14ac:dyDescent="0.35">
      <c r="B1122" s="10"/>
      <c r="F1122" t="str">
        <f t="shared" si="15"/>
        <v/>
      </c>
    </row>
    <row r="1123" spans="2:6" x14ac:dyDescent="0.35">
      <c r="B1123" s="10"/>
      <c r="F1123" t="str">
        <f t="shared" si="15"/>
        <v/>
      </c>
    </row>
    <row r="1124" spans="2:6" x14ac:dyDescent="0.35">
      <c r="B1124" s="10"/>
      <c r="F1124" t="str">
        <f t="shared" si="15"/>
        <v/>
      </c>
    </row>
    <row r="1125" spans="2:6" x14ac:dyDescent="0.35">
      <c r="B1125" s="10"/>
      <c r="F1125" t="str">
        <f t="shared" si="15"/>
        <v/>
      </c>
    </row>
    <row r="1126" spans="2:6" x14ac:dyDescent="0.35">
      <c r="B1126" s="10"/>
      <c r="F1126" t="str">
        <f t="shared" si="15"/>
        <v/>
      </c>
    </row>
    <row r="1127" spans="2:6" x14ac:dyDescent="0.35">
      <c r="B1127" s="10"/>
      <c r="F1127" t="str">
        <f t="shared" si="15"/>
        <v/>
      </c>
    </row>
    <row r="1128" spans="2:6" x14ac:dyDescent="0.35">
      <c r="B1128" s="10"/>
      <c r="F1128" t="str">
        <f t="shared" si="15"/>
        <v/>
      </c>
    </row>
    <row r="1129" spans="2:6" x14ac:dyDescent="0.35">
      <c r="B1129" s="10"/>
      <c r="F1129" t="str">
        <f t="shared" si="15"/>
        <v/>
      </c>
    </row>
    <row r="1130" spans="2:6" x14ac:dyDescent="0.35">
      <c r="B1130" s="10"/>
      <c r="F1130" t="str">
        <f t="shared" si="15"/>
        <v/>
      </c>
    </row>
    <row r="1131" spans="2:6" x14ac:dyDescent="0.35">
      <c r="B1131" s="10"/>
      <c r="F1131" t="str">
        <f t="shared" si="15"/>
        <v/>
      </c>
    </row>
    <row r="1132" spans="2:6" x14ac:dyDescent="0.35">
      <c r="B1132" s="10"/>
      <c r="F1132" t="str">
        <f t="shared" si="15"/>
        <v/>
      </c>
    </row>
    <row r="1133" spans="2:6" x14ac:dyDescent="0.35">
      <c r="B1133" s="10"/>
      <c r="F1133" t="str">
        <f t="shared" si="15"/>
        <v/>
      </c>
    </row>
    <row r="1134" spans="2:6" x14ac:dyDescent="0.35">
      <c r="B1134" s="10"/>
      <c r="F1134" t="str">
        <f t="shared" si="15"/>
        <v/>
      </c>
    </row>
    <row r="1135" spans="2:6" x14ac:dyDescent="0.35">
      <c r="B1135" s="10"/>
      <c r="F1135" t="str">
        <f t="shared" si="15"/>
        <v/>
      </c>
    </row>
    <row r="1136" spans="2:6" x14ac:dyDescent="0.35">
      <c r="B1136" s="10"/>
      <c r="F1136" t="str">
        <f t="shared" si="15"/>
        <v/>
      </c>
    </row>
    <row r="1137" spans="2:6" x14ac:dyDescent="0.35">
      <c r="B1137" s="10"/>
      <c r="F1137" t="str">
        <f t="shared" si="15"/>
        <v/>
      </c>
    </row>
    <row r="1138" spans="2:6" x14ac:dyDescent="0.35">
      <c r="B1138" s="10"/>
      <c r="F1138" t="str">
        <f t="shared" si="15"/>
        <v/>
      </c>
    </row>
    <row r="1139" spans="2:6" x14ac:dyDescent="0.35">
      <c r="B1139" s="10"/>
      <c r="F1139" t="str">
        <f t="shared" si="15"/>
        <v/>
      </c>
    </row>
    <row r="1140" spans="2:6" x14ac:dyDescent="0.35">
      <c r="B1140" s="10"/>
      <c r="F1140" t="str">
        <f t="shared" si="15"/>
        <v/>
      </c>
    </row>
    <row r="1141" spans="2:6" x14ac:dyDescent="0.35">
      <c r="B1141" s="10"/>
      <c r="F1141" t="str">
        <f t="shared" si="15"/>
        <v/>
      </c>
    </row>
    <row r="1142" spans="2:6" x14ac:dyDescent="0.35">
      <c r="B1142" s="10"/>
      <c r="F1142" t="str">
        <f t="shared" si="15"/>
        <v/>
      </c>
    </row>
    <row r="1143" spans="2:6" x14ac:dyDescent="0.35">
      <c r="B1143" s="10"/>
      <c r="F1143" t="str">
        <f t="shared" si="15"/>
        <v/>
      </c>
    </row>
    <row r="1144" spans="2:6" x14ac:dyDescent="0.35">
      <c r="B1144" s="10"/>
      <c r="F1144" t="str">
        <f t="shared" si="15"/>
        <v/>
      </c>
    </row>
    <row r="1145" spans="2:6" x14ac:dyDescent="0.35">
      <c r="B1145" s="10"/>
      <c r="F1145" t="str">
        <f t="shared" si="15"/>
        <v/>
      </c>
    </row>
    <row r="1146" spans="2:6" x14ac:dyDescent="0.35">
      <c r="B1146" s="10"/>
      <c r="F1146" t="str">
        <f t="shared" si="15"/>
        <v/>
      </c>
    </row>
    <row r="1147" spans="2:6" x14ac:dyDescent="0.35">
      <c r="B1147" s="10"/>
      <c r="F1147" t="str">
        <f t="shared" si="15"/>
        <v/>
      </c>
    </row>
    <row r="1148" spans="2:6" x14ac:dyDescent="0.35">
      <c r="B1148" s="10"/>
      <c r="F1148" t="str">
        <f t="shared" si="15"/>
        <v/>
      </c>
    </row>
    <row r="1149" spans="2:6" x14ac:dyDescent="0.35">
      <c r="B1149" s="10"/>
      <c r="F1149" t="str">
        <f t="shared" si="15"/>
        <v/>
      </c>
    </row>
    <row r="1150" spans="2:6" x14ac:dyDescent="0.35">
      <c r="B1150" s="10"/>
      <c r="F1150" t="str">
        <f t="shared" si="15"/>
        <v/>
      </c>
    </row>
    <row r="1151" spans="2:6" x14ac:dyDescent="0.35">
      <c r="B1151" s="10"/>
      <c r="F1151" t="str">
        <f t="shared" si="15"/>
        <v/>
      </c>
    </row>
    <row r="1152" spans="2:6" x14ac:dyDescent="0.35">
      <c r="B1152" s="10"/>
      <c r="F1152" t="str">
        <f t="shared" si="15"/>
        <v/>
      </c>
    </row>
    <row r="1153" spans="2:6" x14ac:dyDescent="0.35">
      <c r="B1153" s="10"/>
      <c r="F1153" t="str">
        <f t="shared" si="15"/>
        <v/>
      </c>
    </row>
    <row r="1154" spans="2:6" x14ac:dyDescent="0.35">
      <c r="B1154" s="10"/>
      <c r="F1154" t="str">
        <f t="shared" ref="F1154:F1217" si="16">IF(LEFT(D1154,3)="นาย","ชาย",IF(LEFT(D1154,3)="นาง","หญิง",""))</f>
        <v/>
      </c>
    </row>
    <row r="1155" spans="2:6" x14ac:dyDescent="0.35">
      <c r="B1155" s="10"/>
      <c r="F1155" t="str">
        <f t="shared" si="16"/>
        <v/>
      </c>
    </row>
    <row r="1156" spans="2:6" x14ac:dyDescent="0.35">
      <c r="B1156" s="10"/>
      <c r="F1156" t="str">
        <f t="shared" si="16"/>
        <v/>
      </c>
    </row>
    <row r="1157" spans="2:6" x14ac:dyDescent="0.35">
      <c r="B1157" s="10"/>
      <c r="F1157" t="str">
        <f t="shared" si="16"/>
        <v/>
      </c>
    </row>
    <row r="1158" spans="2:6" x14ac:dyDescent="0.35">
      <c r="B1158" s="10"/>
      <c r="F1158" t="str">
        <f t="shared" si="16"/>
        <v/>
      </c>
    </row>
    <row r="1159" spans="2:6" x14ac:dyDescent="0.35">
      <c r="B1159" s="10"/>
      <c r="F1159" t="str">
        <f t="shared" si="16"/>
        <v/>
      </c>
    </row>
    <row r="1160" spans="2:6" x14ac:dyDescent="0.35">
      <c r="B1160" s="10"/>
      <c r="F1160" t="str">
        <f t="shared" si="16"/>
        <v/>
      </c>
    </row>
    <row r="1161" spans="2:6" x14ac:dyDescent="0.35">
      <c r="B1161" s="10"/>
      <c r="F1161" t="str">
        <f t="shared" si="16"/>
        <v/>
      </c>
    </row>
    <row r="1162" spans="2:6" x14ac:dyDescent="0.35">
      <c r="B1162" s="10"/>
      <c r="F1162" t="str">
        <f t="shared" si="16"/>
        <v/>
      </c>
    </row>
    <row r="1163" spans="2:6" x14ac:dyDescent="0.35">
      <c r="B1163" s="10"/>
      <c r="F1163" t="str">
        <f t="shared" si="16"/>
        <v/>
      </c>
    </row>
    <row r="1164" spans="2:6" x14ac:dyDescent="0.35">
      <c r="B1164" s="10"/>
      <c r="F1164" t="str">
        <f t="shared" si="16"/>
        <v/>
      </c>
    </row>
    <row r="1165" spans="2:6" x14ac:dyDescent="0.35">
      <c r="B1165" s="10"/>
      <c r="F1165" t="str">
        <f t="shared" si="16"/>
        <v/>
      </c>
    </row>
    <row r="1166" spans="2:6" x14ac:dyDescent="0.35">
      <c r="B1166" s="10"/>
      <c r="F1166" t="str">
        <f t="shared" si="16"/>
        <v/>
      </c>
    </row>
    <row r="1167" spans="2:6" x14ac:dyDescent="0.35">
      <c r="B1167" s="10"/>
      <c r="F1167" t="str">
        <f t="shared" si="16"/>
        <v/>
      </c>
    </row>
    <row r="1168" spans="2:6" x14ac:dyDescent="0.35">
      <c r="B1168" s="10"/>
      <c r="F1168" t="str">
        <f t="shared" si="16"/>
        <v/>
      </c>
    </row>
    <row r="1169" spans="2:6" x14ac:dyDescent="0.35">
      <c r="B1169" s="10"/>
      <c r="F1169" t="str">
        <f t="shared" si="16"/>
        <v/>
      </c>
    </row>
    <row r="1170" spans="2:6" x14ac:dyDescent="0.35">
      <c r="B1170" s="10"/>
      <c r="F1170" t="str">
        <f t="shared" si="16"/>
        <v/>
      </c>
    </row>
    <row r="1171" spans="2:6" x14ac:dyDescent="0.35">
      <c r="B1171" s="10"/>
      <c r="F1171" t="str">
        <f t="shared" si="16"/>
        <v/>
      </c>
    </row>
    <row r="1172" spans="2:6" x14ac:dyDescent="0.35">
      <c r="B1172" s="10"/>
      <c r="F1172" t="str">
        <f t="shared" si="16"/>
        <v/>
      </c>
    </row>
    <row r="1173" spans="2:6" x14ac:dyDescent="0.35">
      <c r="B1173" s="10"/>
      <c r="F1173" t="str">
        <f t="shared" si="16"/>
        <v/>
      </c>
    </row>
    <row r="1174" spans="2:6" x14ac:dyDescent="0.35">
      <c r="B1174" s="10"/>
      <c r="F1174" t="str">
        <f t="shared" si="16"/>
        <v/>
      </c>
    </row>
    <row r="1175" spans="2:6" x14ac:dyDescent="0.35">
      <c r="B1175" s="10"/>
      <c r="F1175" t="str">
        <f t="shared" si="16"/>
        <v/>
      </c>
    </row>
    <row r="1176" spans="2:6" x14ac:dyDescent="0.35">
      <c r="B1176" s="10"/>
      <c r="F1176" t="str">
        <f t="shared" si="16"/>
        <v/>
      </c>
    </row>
    <row r="1177" spans="2:6" x14ac:dyDescent="0.35">
      <c r="B1177" s="10"/>
      <c r="F1177" t="str">
        <f t="shared" si="16"/>
        <v/>
      </c>
    </row>
    <row r="1178" spans="2:6" x14ac:dyDescent="0.35">
      <c r="B1178" s="10"/>
      <c r="F1178" t="str">
        <f t="shared" si="16"/>
        <v/>
      </c>
    </row>
    <row r="1179" spans="2:6" x14ac:dyDescent="0.35">
      <c r="B1179" s="10"/>
      <c r="F1179" t="str">
        <f t="shared" si="16"/>
        <v/>
      </c>
    </row>
    <row r="1180" spans="2:6" x14ac:dyDescent="0.35">
      <c r="B1180" s="10"/>
      <c r="F1180" t="str">
        <f t="shared" si="16"/>
        <v/>
      </c>
    </row>
    <row r="1181" spans="2:6" x14ac:dyDescent="0.35">
      <c r="B1181" s="10"/>
      <c r="F1181" t="str">
        <f t="shared" si="16"/>
        <v/>
      </c>
    </row>
    <row r="1182" spans="2:6" x14ac:dyDescent="0.35">
      <c r="B1182" s="10"/>
      <c r="F1182" t="str">
        <f t="shared" si="16"/>
        <v/>
      </c>
    </row>
    <row r="1183" spans="2:6" x14ac:dyDescent="0.35">
      <c r="B1183" s="10"/>
      <c r="F1183" t="str">
        <f t="shared" si="16"/>
        <v/>
      </c>
    </row>
    <row r="1184" spans="2:6" x14ac:dyDescent="0.35">
      <c r="B1184" s="10"/>
      <c r="F1184" t="str">
        <f t="shared" si="16"/>
        <v/>
      </c>
    </row>
    <row r="1185" spans="2:6" x14ac:dyDescent="0.35">
      <c r="B1185" s="10"/>
      <c r="F1185" t="str">
        <f t="shared" si="16"/>
        <v/>
      </c>
    </row>
    <row r="1186" spans="2:6" x14ac:dyDescent="0.35">
      <c r="B1186" s="10"/>
      <c r="F1186" t="str">
        <f t="shared" si="16"/>
        <v/>
      </c>
    </row>
    <row r="1187" spans="2:6" x14ac:dyDescent="0.35">
      <c r="B1187" s="10"/>
      <c r="F1187" t="str">
        <f t="shared" si="16"/>
        <v/>
      </c>
    </row>
    <row r="1188" spans="2:6" x14ac:dyDescent="0.35">
      <c r="B1188" s="10"/>
      <c r="F1188" t="str">
        <f t="shared" si="16"/>
        <v/>
      </c>
    </row>
    <row r="1189" spans="2:6" x14ac:dyDescent="0.35">
      <c r="B1189" s="10"/>
      <c r="F1189" t="str">
        <f t="shared" si="16"/>
        <v/>
      </c>
    </row>
    <row r="1190" spans="2:6" x14ac:dyDescent="0.35">
      <c r="B1190" s="10"/>
      <c r="F1190" t="str">
        <f t="shared" si="16"/>
        <v/>
      </c>
    </row>
    <row r="1191" spans="2:6" x14ac:dyDescent="0.35">
      <c r="B1191" s="10"/>
      <c r="F1191" t="str">
        <f t="shared" si="16"/>
        <v/>
      </c>
    </row>
    <row r="1192" spans="2:6" x14ac:dyDescent="0.35">
      <c r="B1192" s="10"/>
      <c r="F1192" t="str">
        <f t="shared" si="16"/>
        <v/>
      </c>
    </row>
    <row r="1193" spans="2:6" x14ac:dyDescent="0.35">
      <c r="B1193" s="10"/>
      <c r="F1193" t="str">
        <f t="shared" si="16"/>
        <v/>
      </c>
    </row>
    <row r="1194" spans="2:6" x14ac:dyDescent="0.35">
      <c r="B1194" s="10"/>
      <c r="F1194" t="str">
        <f t="shared" si="16"/>
        <v/>
      </c>
    </row>
    <row r="1195" spans="2:6" x14ac:dyDescent="0.35">
      <c r="B1195" s="10"/>
      <c r="F1195" t="str">
        <f t="shared" si="16"/>
        <v/>
      </c>
    </row>
    <row r="1196" spans="2:6" x14ac:dyDescent="0.35">
      <c r="B1196" s="10"/>
      <c r="F1196" t="str">
        <f t="shared" si="16"/>
        <v/>
      </c>
    </row>
    <row r="1197" spans="2:6" x14ac:dyDescent="0.35">
      <c r="B1197" s="10"/>
      <c r="F1197" t="str">
        <f t="shared" si="16"/>
        <v/>
      </c>
    </row>
    <row r="1198" spans="2:6" x14ac:dyDescent="0.35">
      <c r="B1198" s="10"/>
      <c r="F1198" t="str">
        <f t="shared" si="16"/>
        <v/>
      </c>
    </row>
    <row r="1199" spans="2:6" x14ac:dyDescent="0.35">
      <c r="B1199" s="10"/>
      <c r="F1199" t="str">
        <f t="shared" si="16"/>
        <v/>
      </c>
    </row>
    <row r="1200" spans="2:6" x14ac:dyDescent="0.35">
      <c r="B1200" s="10"/>
      <c r="F1200" t="str">
        <f t="shared" si="16"/>
        <v/>
      </c>
    </row>
    <row r="1201" spans="2:6" x14ac:dyDescent="0.35">
      <c r="B1201" s="10"/>
      <c r="F1201" t="str">
        <f t="shared" si="16"/>
        <v/>
      </c>
    </row>
    <row r="1202" spans="2:6" x14ac:dyDescent="0.35">
      <c r="B1202" s="10"/>
      <c r="F1202" t="str">
        <f t="shared" si="16"/>
        <v/>
      </c>
    </row>
    <row r="1203" spans="2:6" x14ac:dyDescent="0.35">
      <c r="B1203" s="10"/>
      <c r="F1203" t="str">
        <f t="shared" si="16"/>
        <v/>
      </c>
    </row>
    <row r="1204" spans="2:6" x14ac:dyDescent="0.35">
      <c r="B1204" s="10"/>
      <c r="F1204" t="str">
        <f t="shared" si="16"/>
        <v/>
      </c>
    </row>
    <row r="1205" spans="2:6" x14ac:dyDescent="0.35">
      <c r="B1205" s="10"/>
      <c r="F1205" t="str">
        <f t="shared" si="16"/>
        <v/>
      </c>
    </row>
    <row r="1206" spans="2:6" x14ac:dyDescent="0.35">
      <c r="B1206" s="10"/>
      <c r="F1206" t="str">
        <f t="shared" si="16"/>
        <v/>
      </c>
    </row>
    <row r="1207" spans="2:6" x14ac:dyDescent="0.35">
      <c r="B1207" s="10"/>
      <c r="F1207" t="str">
        <f t="shared" si="16"/>
        <v/>
      </c>
    </row>
    <row r="1208" spans="2:6" x14ac:dyDescent="0.35">
      <c r="B1208" s="10"/>
      <c r="F1208" t="str">
        <f t="shared" si="16"/>
        <v/>
      </c>
    </row>
    <row r="1209" spans="2:6" x14ac:dyDescent="0.35">
      <c r="B1209" s="10"/>
      <c r="F1209" t="str">
        <f t="shared" si="16"/>
        <v/>
      </c>
    </row>
    <row r="1210" spans="2:6" x14ac:dyDescent="0.35">
      <c r="B1210" s="10"/>
      <c r="F1210" t="str">
        <f t="shared" si="16"/>
        <v/>
      </c>
    </row>
    <row r="1211" spans="2:6" x14ac:dyDescent="0.35">
      <c r="B1211" s="10"/>
      <c r="F1211" t="str">
        <f t="shared" si="16"/>
        <v/>
      </c>
    </row>
    <row r="1212" spans="2:6" x14ac:dyDescent="0.35">
      <c r="B1212" s="10"/>
      <c r="F1212" t="str">
        <f t="shared" si="16"/>
        <v/>
      </c>
    </row>
    <row r="1213" spans="2:6" x14ac:dyDescent="0.35">
      <c r="B1213" s="10"/>
      <c r="F1213" t="str">
        <f t="shared" si="16"/>
        <v/>
      </c>
    </row>
    <row r="1214" spans="2:6" x14ac:dyDescent="0.35">
      <c r="B1214" s="10"/>
      <c r="F1214" t="str">
        <f t="shared" si="16"/>
        <v/>
      </c>
    </row>
    <row r="1215" spans="2:6" x14ac:dyDescent="0.35">
      <c r="B1215" s="10"/>
      <c r="F1215" t="str">
        <f t="shared" si="16"/>
        <v/>
      </c>
    </row>
    <row r="1216" spans="2:6" x14ac:dyDescent="0.35">
      <c r="B1216" s="10"/>
      <c r="F1216" t="str">
        <f t="shared" si="16"/>
        <v/>
      </c>
    </row>
    <row r="1217" spans="2:6" x14ac:dyDescent="0.35">
      <c r="B1217" s="10"/>
      <c r="F1217" t="str">
        <f t="shared" si="16"/>
        <v/>
      </c>
    </row>
    <row r="1218" spans="2:6" x14ac:dyDescent="0.35">
      <c r="B1218" s="10"/>
      <c r="F1218" t="str">
        <f t="shared" ref="F1218:F1281" si="17">IF(LEFT(D1218,3)="นาย","ชาย",IF(LEFT(D1218,3)="นาง","หญิง",""))</f>
        <v/>
      </c>
    </row>
    <row r="1219" spans="2:6" x14ac:dyDescent="0.35">
      <c r="B1219" s="10"/>
      <c r="F1219" t="str">
        <f t="shared" si="17"/>
        <v/>
      </c>
    </row>
    <row r="1220" spans="2:6" x14ac:dyDescent="0.35">
      <c r="B1220" s="10"/>
      <c r="F1220" t="str">
        <f t="shared" si="17"/>
        <v/>
      </c>
    </row>
    <row r="1221" spans="2:6" x14ac:dyDescent="0.35">
      <c r="B1221" s="10"/>
      <c r="F1221" t="str">
        <f t="shared" si="17"/>
        <v/>
      </c>
    </row>
    <row r="1222" spans="2:6" x14ac:dyDescent="0.35">
      <c r="B1222" s="10"/>
      <c r="F1222" t="str">
        <f t="shared" si="17"/>
        <v/>
      </c>
    </row>
    <row r="1223" spans="2:6" x14ac:dyDescent="0.35">
      <c r="B1223" s="10"/>
      <c r="F1223" t="str">
        <f t="shared" si="17"/>
        <v/>
      </c>
    </row>
    <row r="1224" spans="2:6" x14ac:dyDescent="0.35">
      <c r="B1224" s="10"/>
      <c r="F1224" t="str">
        <f t="shared" si="17"/>
        <v/>
      </c>
    </row>
    <row r="1225" spans="2:6" x14ac:dyDescent="0.35">
      <c r="B1225" s="10"/>
      <c r="F1225" t="str">
        <f t="shared" si="17"/>
        <v/>
      </c>
    </row>
    <row r="1226" spans="2:6" x14ac:dyDescent="0.35">
      <c r="B1226" s="10"/>
      <c r="F1226" t="str">
        <f t="shared" si="17"/>
        <v/>
      </c>
    </row>
    <row r="1227" spans="2:6" x14ac:dyDescent="0.35">
      <c r="B1227" s="10"/>
      <c r="F1227" t="str">
        <f t="shared" si="17"/>
        <v/>
      </c>
    </row>
    <row r="1228" spans="2:6" x14ac:dyDescent="0.35">
      <c r="B1228" s="10"/>
      <c r="F1228" t="str">
        <f t="shared" si="17"/>
        <v/>
      </c>
    </row>
    <row r="1229" spans="2:6" x14ac:dyDescent="0.35">
      <c r="B1229" s="10"/>
      <c r="F1229" t="str">
        <f t="shared" si="17"/>
        <v/>
      </c>
    </row>
    <row r="1230" spans="2:6" x14ac:dyDescent="0.35">
      <c r="B1230" s="10"/>
      <c r="F1230" t="str">
        <f t="shared" si="17"/>
        <v/>
      </c>
    </row>
    <row r="1231" spans="2:6" x14ac:dyDescent="0.35">
      <c r="B1231" s="10"/>
      <c r="F1231" t="str">
        <f t="shared" si="17"/>
        <v/>
      </c>
    </row>
    <row r="1232" spans="2:6" x14ac:dyDescent="0.35">
      <c r="B1232" s="10"/>
      <c r="F1232" t="str">
        <f t="shared" si="17"/>
        <v/>
      </c>
    </row>
    <row r="1233" spans="2:6" x14ac:dyDescent="0.35">
      <c r="B1233" s="10"/>
      <c r="F1233" t="str">
        <f t="shared" si="17"/>
        <v/>
      </c>
    </row>
    <row r="1234" spans="2:6" x14ac:dyDescent="0.35">
      <c r="B1234" s="10"/>
      <c r="F1234" t="str">
        <f t="shared" si="17"/>
        <v/>
      </c>
    </row>
    <row r="1235" spans="2:6" x14ac:dyDescent="0.35">
      <c r="B1235" s="10"/>
      <c r="F1235" t="str">
        <f t="shared" si="17"/>
        <v/>
      </c>
    </row>
    <row r="1236" spans="2:6" x14ac:dyDescent="0.35">
      <c r="B1236" s="10"/>
      <c r="F1236" t="str">
        <f t="shared" si="17"/>
        <v/>
      </c>
    </row>
    <row r="1237" spans="2:6" x14ac:dyDescent="0.35">
      <c r="B1237" s="10"/>
      <c r="F1237" t="str">
        <f t="shared" si="17"/>
        <v/>
      </c>
    </row>
    <row r="1238" spans="2:6" x14ac:dyDescent="0.35">
      <c r="B1238" s="10"/>
      <c r="F1238" t="str">
        <f t="shared" si="17"/>
        <v/>
      </c>
    </row>
    <row r="1239" spans="2:6" x14ac:dyDescent="0.35">
      <c r="B1239" s="10"/>
      <c r="F1239" t="str">
        <f t="shared" si="17"/>
        <v/>
      </c>
    </row>
    <row r="1240" spans="2:6" x14ac:dyDescent="0.35">
      <c r="B1240" s="10"/>
      <c r="F1240" t="str">
        <f t="shared" si="17"/>
        <v/>
      </c>
    </row>
    <row r="1241" spans="2:6" x14ac:dyDescent="0.35">
      <c r="B1241" s="10"/>
      <c r="F1241" t="str">
        <f t="shared" si="17"/>
        <v/>
      </c>
    </row>
    <row r="1242" spans="2:6" x14ac:dyDescent="0.35">
      <c r="B1242" s="10"/>
      <c r="F1242" t="str">
        <f t="shared" si="17"/>
        <v/>
      </c>
    </row>
    <row r="1243" spans="2:6" x14ac:dyDescent="0.35">
      <c r="B1243" s="10"/>
      <c r="F1243" t="str">
        <f t="shared" si="17"/>
        <v/>
      </c>
    </row>
    <row r="1244" spans="2:6" x14ac:dyDescent="0.35">
      <c r="B1244" s="10"/>
      <c r="F1244" t="str">
        <f t="shared" si="17"/>
        <v/>
      </c>
    </row>
    <row r="1245" spans="2:6" x14ac:dyDescent="0.35">
      <c r="B1245" s="10"/>
      <c r="F1245" t="str">
        <f t="shared" si="17"/>
        <v/>
      </c>
    </row>
    <row r="1246" spans="2:6" x14ac:dyDescent="0.35">
      <c r="B1246" s="10"/>
      <c r="F1246" t="str">
        <f t="shared" si="17"/>
        <v/>
      </c>
    </row>
    <row r="1247" spans="2:6" x14ac:dyDescent="0.35">
      <c r="B1247" s="10"/>
      <c r="F1247" t="str">
        <f t="shared" si="17"/>
        <v/>
      </c>
    </row>
    <row r="1248" spans="2:6" x14ac:dyDescent="0.35">
      <c r="B1248" s="10"/>
      <c r="F1248" t="str">
        <f t="shared" si="17"/>
        <v/>
      </c>
    </row>
    <row r="1249" spans="2:6" x14ac:dyDescent="0.35">
      <c r="B1249" s="10"/>
      <c r="F1249" t="str">
        <f t="shared" si="17"/>
        <v/>
      </c>
    </row>
    <row r="1250" spans="2:6" x14ac:dyDescent="0.35">
      <c r="B1250" s="10"/>
      <c r="F1250" t="str">
        <f t="shared" si="17"/>
        <v/>
      </c>
    </row>
    <row r="1251" spans="2:6" x14ac:dyDescent="0.35">
      <c r="B1251" s="10"/>
      <c r="F1251" t="str">
        <f t="shared" si="17"/>
        <v/>
      </c>
    </row>
    <row r="1252" spans="2:6" x14ac:dyDescent="0.35">
      <c r="B1252" s="10"/>
      <c r="F1252" t="str">
        <f t="shared" si="17"/>
        <v/>
      </c>
    </row>
    <row r="1253" spans="2:6" x14ac:dyDescent="0.35">
      <c r="B1253" s="10"/>
      <c r="F1253" t="str">
        <f t="shared" si="17"/>
        <v/>
      </c>
    </row>
    <row r="1254" spans="2:6" x14ac:dyDescent="0.35">
      <c r="B1254" s="10"/>
      <c r="F1254" t="str">
        <f t="shared" si="17"/>
        <v/>
      </c>
    </row>
    <row r="1255" spans="2:6" x14ac:dyDescent="0.35">
      <c r="B1255" s="10"/>
      <c r="F1255" t="str">
        <f t="shared" si="17"/>
        <v/>
      </c>
    </row>
    <row r="1256" spans="2:6" x14ac:dyDescent="0.35">
      <c r="B1256" s="10"/>
      <c r="F1256" t="str">
        <f t="shared" si="17"/>
        <v/>
      </c>
    </row>
    <row r="1257" spans="2:6" x14ac:dyDescent="0.35">
      <c r="B1257" s="10"/>
      <c r="F1257" t="str">
        <f t="shared" si="17"/>
        <v/>
      </c>
    </row>
    <row r="1258" spans="2:6" x14ac:dyDescent="0.35">
      <c r="B1258" s="10"/>
      <c r="F1258" t="str">
        <f t="shared" si="17"/>
        <v/>
      </c>
    </row>
    <row r="1259" spans="2:6" x14ac:dyDescent="0.35">
      <c r="B1259" s="10"/>
      <c r="F1259" t="str">
        <f t="shared" si="17"/>
        <v/>
      </c>
    </row>
    <row r="1260" spans="2:6" x14ac:dyDescent="0.35">
      <c r="B1260" s="10"/>
      <c r="F1260" t="str">
        <f t="shared" si="17"/>
        <v/>
      </c>
    </row>
    <row r="1261" spans="2:6" x14ac:dyDescent="0.35">
      <c r="B1261" s="10"/>
      <c r="F1261" t="str">
        <f t="shared" si="17"/>
        <v/>
      </c>
    </row>
    <row r="1262" spans="2:6" x14ac:dyDescent="0.35">
      <c r="B1262" s="10"/>
      <c r="F1262" t="str">
        <f t="shared" si="17"/>
        <v/>
      </c>
    </row>
    <row r="1263" spans="2:6" x14ac:dyDescent="0.35">
      <c r="B1263" s="10"/>
      <c r="F1263" t="str">
        <f t="shared" si="17"/>
        <v/>
      </c>
    </row>
    <row r="1264" spans="2:6" x14ac:dyDescent="0.35">
      <c r="B1264" s="10"/>
      <c r="F1264" t="str">
        <f t="shared" si="17"/>
        <v/>
      </c>
    </row>
    <row r="1265" spans="2:6" x14ac:dyDescent="0.35">
      <c r="B1265" s="10"/>
      <c r="F1265" t="str">
        <f t="shared" si="17"/>
        <v/>
      </c>
    </row>
    <row r="1266" spans="2:6" x14ac:dyDescent="0.35">
      <c r="B1266" s="10"/>
      <c r="F1266" t="str">
        <f t="shared" si="17"/>
        <v/>
      </c>
    </row>
    <row r="1267" spans="2:6" x14ac:dyDescent="0.35">
      <c r="B1267" s="10"/>
      <c r="F1267" t="str">
        <f t="shared" si="17"/>
        <v/>
      </c>
    </row>
    <row r="1268" spans="2:6" x14ac:dyDescent="0.35">
      <c r="B1268" s="10"/>
      <c r="F1268" t="str">
        <f t="shared" si="17"/>
        <v/>
      </c>
    </row>
    <row r="1269" spans="2:6" x14ac:dyDescent="0.35">
      <c r="B1269" s="10"/>
      <c r="F1269" t="str">
        <f t="shared" si="17"/>
        <v/>
      </c>
    </row>
    <row r="1270" spans="2:6" x14ac:dyDescent="0.35">
      <c r="B1270" s="10"/>
      <c r="F1270" t="str">
        <f t="shared" si="17"/>
        <v/>
      </c>
    </row>
    <row r="1271" spans="2:6" x14ac:dyDescent="0.35">
      <c r="B1271" s="10"/>
      <c r="F1271" t="str">
        <f t="shared" si="17"/>
        <v/>
      </c>
    </row>
    <row r="1272" spans="2:6" x14ac:dyDescent="0.35">
      <c r="B1272" s="10"/>
      <c r="F1272" t="str">
        <f t="shared" si="17"/>
        <v/>
      </c>
    </row>
    <row r="1273" spans="2:6" x14ac:dyDescent="0.35">
      <c r="B1273" s="10"/>
      <c r="F1273" t="str">
        <f t="shared" si="17"/>
        <v/>
      </c>
    </row>
    <row r="1274" spans="2:6" x14ac:dyDescent="0.35">
      <c r="B1274" s="10"/>
      <c r="F1274" t="str">
        <f t="shared" si="17"/>
        <v/>
      </c>
    </row>
    <row r="1275" spans="2:6" x14ac:dyDescent="0.35">
      <c r="B1275" s="10"/>
      <c r="F1275" t="str">
        <f t="shared" si="17"/>
        <v/>
      </c>
    </row>
    <row r="1276" spans="2:6" x14ac:dyDescent="0.35">
      <c r="B1276" s="10"/>
      <c r="F1276" t="str">
        <f t="shared" si="17"/>
        <v/>
      </c>
    </row>
    <row r="1277" spans="2:6" x14ac:dyDescent="0.35">
      <c r="B1277" s="10"/>
      <c r="F1277" t="str">
        <f t="shared" si="17"/>
        <v/>
      </c>
    </row>
    <row r="1278" spans="2:6" x14ac:dyDescent="0.35">
      <c r="B1278" s="10"/>
      <c r="F1278" t="str">
        <f t="shared" si="17"/>
        <v/>
      </c>
    </row>
    <row r="1279" spans="2:6" x14ac:dyDescent="0.35">
      <c r="B1279" s="10"/>
      <c r="F1279" t="str">
        <f t="shared" si="17"/>
        <v/>
      </c>
    </row>
    <row r="1280" spans="2:6" x14ac:dyDescent="0.35">
      <c r="B1280" s="10"/>
      <c r="F1280" t="str">
        <f t="shared" si="17"/>
        <v/>
      </c>
    </row>
    <row r="1281" spans="2:6" x14ac:dyDescent="0.35">
      <c r="B1281" s="10"/>
      <c r="F1281" t="str">
        <f t="shared" si="17"/>
        <v/>
      </c>
    </row>
    <row r="1282" spans="2:6" x14ac:dyDescent="0.35">
      <c r="B1282" s="10"/>
      <c r="F1282" t="str">
        <f t="shared" ref="F1282:F1345" si="18">IF(LEFT(D1282,3)="นาย","ชาย",IF(LEFT(D1282,3)="นาง","หญิง",""))</f>
        <v/>
      </c>
    </row>
    <row r="1283" spans="2:6" x14ac:dyDescent="0.35">
      <c r="B1283" s="10"/>
      <c r="F1283" t="str">
        <f t="shared" si="18"/>
        <v/>
      </c>
    </row>
    <row r="1284" spans="2:6" x14ac:dyDescent="0.35">
      <c r="B1284" s="10"/>
      <c r="F1284" t="str">
        <f t="shared" si="18"/>
        <v/>
      </c>
    </row>
    <row r="1285" spans="2:6" x14ac:dyDescent="0.35">
      <c r="B1285" s="10"/>
      <c r="F1285" t="str">
        <f t="shared" si="18"/>
        <v/>
      </c>
    </row>
    <row r="1286" spans="2:6" x14ac:dyDescent="0.35">
      <c r="B1286" s="10"/>
      <c r="F1286" t="str">
        <f t="shared" si="18"/>
        <v/>
      </c>
    </row>
    <row r="1287" spans="2:6" x14ac:dyDescent="0.35">
      <c r="B1287" s="10"/>
      <c r="F1287" t="str">
        <f t="shared" si="18"/>
        <v/>
      </c>
    </row>
    <row r="1288" spans="2:6" x14ac:dyDescent="0.35">
      <c r="B1288" s="10"/>
      <c r="F1288" t="str">
        <f t="shared" si="18"/>
        <v/>
      </c>
    </row>
    <row r="1289" spans="2:6" x14ac:dyDescent="0.35">
      <c r="B1289" s="10"/>
      <c r="F1289" t="str">
        <f t="shared" si="18"/>
        <v/>
      </c>
    </row>
    <row r="1290" spans="2:6" x14ac:dyDescent="0.35">
      <c r="B1290" s="10"/>
      <c r="F1290" t="str">
        <f t="shared" si="18"/>
        <v/>
      </c>
    </row>
    <row r="1291" spans="2:6" x14ac:dyDescent="0.35">
      <c r="B1291" s="10"/>
      <c r="F1291" t="str">
        <f t="shared" si="18"/>
        <v/>
      </c>
    </row>
    <row r="1292" spans="2:6" x14ac:dyDescent="0.35">
      <c r="B1292" s="10"/>
      <c r="F1292" t="str">
        <f t="shared" si="18"/>
        <v/>
      </c>
    </row>
    <row r="1293" spans="2:6" x14ac:dyDescent="0.35">
      <c r="B1293" s="10"/>
      <c r="F1293" t="str">
        <f t="shared" si="18"/>
        <v/>
      </c>
    </row>
    <row r="1294" spans="2:6" x14ac:dyDescent="0.35">
      <c r="B1294" s="10"/>
      <c r="F1294" t="str">
        <f t="shared" si="18"/>
        <v/>
      </c>
    </row>
    <row r="1295" spans="2:6" x14ac:dyDescent="0.35">
      <c r="B1295" s="10"/>
      <c r="F1295" t="str">
        <f t="shared" si="18"/>
        <v/>
      </c>
    </row>
    <row r="1296" spans="2:6" x14ac:dyDescent="0.35">
      <c r="B1296" s="10"/>
      <c r="F1296" t="str">
        <f t="shared" si="18"/>
        <v/>
      </c>
    </row>
    <row r="1297" spans="2:6" x14ac:dyDescent="0.35">
      <c r="B1297" s="10"/>
      <c r="F1297" t="str">
        <f t="shared" si="18"/>
        <v/>
      </c>
    </row>
    <row r="1298" spans="2:6" x14ac:dyDescent="0.35">
      <c r="B1298" s="10"/>
      <c r="F1298" t="str">
        <f t="shared" si="18"/>
        <v/>
      </c>
    </row>
    <row r="1299" spans="2:6" x14ac:dyDescent="0.35">
      <c r="B1299" s="10"/>
      <c r="F1299" t="str">
        <f t="shared" si="18"/>
        <v/>
      </c>
    </row>
    <row r="1300" spans="2:6" x14ac:dyDescent="0.35">
      <c r="B1300" s="10"/>
      <c r="F1300" t="str">
        <f t="shared" si="18"/>
        <v/>
      </c>
    </row>
    <row r="1301" spans="2:6" x14ac:dyDescent="0.35">
      <c r="B1301" s="10"/>
      <c r="F1301" t="str">
        <f t="shared" si="18"/>
        <v/>
      </c>
    </row>
    <row r="1302" spans="2:6" x14ac:dyDescent="0.35">
      <c r="B1302" s="10"/>
      <c r="F1302" t="str">
        <f t="shared" si="18"/>
        <v/>
      </c>
    </row>
    <row r="1303" spans="2:6" x14ac:dyDescent="0.35">
      <c r="B1303" s="10"/>
      <c r="F1303" t="str">
        <f t="shared" si="18"/>
        <v/>
      </c>
    </row>
    <row r="1304" spans="2:6" x14ac:dyDescent="0.35">
      <c r="B1304" s="10"/>
      <c r="F1304" t="str">
        <f t="shared" si="18"/>
        <v/>
      </c>
    </row>
    <row r="1305" spans="2:6" x14ac:dyDescent="0.35">
      <c r="B1305" s="10"/>
      <c r="F1305" t="str">
        <f t="shared" si="18"/>
        <v/>
      </c>
    </row>
    <row r="1306" spans="2:6" x14ac:dyDescent="0.35">
      <c r="B1306" s="10"/>
      <c r="F1306" t="str">
        <f t="shared" si="18"/>
        <v/>
      </c>
    </row>
    <row r="1307" spans="2:6" x14ac:dyDescent="0.35">
      <c r="B1307" s="10"/>
      <c r="F1307" t="str">
        <f t="shared" si="18"/>
        <v/>
      </c>
    </row>
    <row r="1308" spans="2:6" x14ac:dyDescent="0.35">
      <c r="B1308" s="10"/>
      <c r="F1308" t="str">
        <f t="shared" si="18"/>
        <v/>
      </c>
    </row>
    <row r="1309" spans="2:6" x14ac:dyDescent="0.35">
      <c r="B1309" s="10"/>
      <c r="F1309" t="str">
        <f t="shared" si="18"/>
        <v/>
      </c>
    </row>
    <row r="1310" spans="2:6" x14ac:dyDescent="0.35">
      <c r="B1310" s="10"/>
      <c r="F1310" t="str">
        <f t="shared" si="18"/>
        <v/>
      </c>
    </row>
    <row r="1311" spans="2:6" x14ac:dyDescent="0.35">
      <c r="B1311" s="10"/>
      <c r="F1311" t="str">
        <f t="shared" si="18"/>
        <v/>
      </c>
    </row>
    <row r="1312" spans="2:6" x14ac:dyDescent="0.35">
      <c r="B1312" s="10"/>
      <c r="F1312" t="str">
        <f t="shared" si="18"/>
        <v/>
      </c>
    </row>
    <row r="1313" spans="2:6" x14ac:dyDescent="0.35">
      <c r="B1313" s="10"/>
      <c r="F1313" t="str">
        <f t="shared" si="18"/>
        <v/>
      </c>
    </row>
    <row r="1314" spans="2:6" x14ac:dyDescent="0.35">
      <c r="B1314" s="10"/>
      <c r="F1314" t="str">
        <f t="shared" si="18"/>
        <v/>
      </c>
    </row>
    <row r="1315" spans="2:6" x14ac:dyDescent="0.35">
      <c r="B1315" s="10"/>
      <c r="F1315" t="str">
        <f t="shared" si="18"/>
        <v/>
      </c>
    </row>
    <row r="1316" spans="2:6" x14ac:dyDescent="0.35">
      <c r="B1316" s="10"/>
      <c r="F1316" t="str">
        <f t="shared" si="18"/>
        <v/>
      </c>
    </row>
    <row r="1317" spans="2:6" x14ac:dyDescent="0.35">
      <c r="B1317" s="10"/>
      <c r="F1317" t="str">
        <f t="shared" si="18"/>
        <v/>
      </c>
    </row>
    <row r="1318" spans="2:6" x14ac:dyDescent="0.35">
      <c r="B1318" s="10"/>
      <c r="F1318" t="str">
        <f t="shared" si="18"/>
        <v/>
      </c>
    </row>
    <row r="1319" spans="2:6" x14ac:dyDescent="0.35">
      <c r="B1319" s="10"/>
      <c r="F1319" t="str">
        <f t="shared" si="18"/>
        <v/>
      </c>
    </row>
    <row r="1320" spans="2:6" x14ac:dyDescent="0.35">
      <c r="B1320" s="10"/>
      <c r="F1320" t="str">
        <f t="shared" si="18"/>
        <v/>
      </c>
    </row>
    <row r="1321" spans="2:6" x14ac:dyDescent="0.35">
      <c r="B1321" s="10"/>
      <c r="F1321" t="str">
        <f t="shared" si="18"/>
        <v/>
      </c>
    </row>
    <row r="1322" spans="2:6" x14ac:dyDescent="0.35">
      <c r="B1322" s="10"/>
      <c r="F1322" t="str">
        <f t="shared" si="18"/>
        <v/>
      </c>
    </row>
    <row r="1323" spans="2:6" x14ac:dyDescent="0.35">
      <c r="B1323" s="10"/>
      <c r="F1323" t="str">
        <f t="shared" si="18"/>
        <v/>
      </c>
    </row>
    <row r="1324" spans="2:6" x14ac:dyDescent="0.35">
      <c r="B1324" s="10"/>
      <c r="F1324" t="str">
        <f t="shared" si="18"/>
        <v/>
      </c>
    </row>
    <row r="1325" spans="2:6" x14ac:dyDescent="0.35">
      <c r="B1325" s="10"/>
      <c r="F1325" t="str">
        <f t="shared" si="18"/>
        <v/>
      </c>
    </row>
    <row r="1326" spans="2:6" x14ac:dyDescent="0.35">
      <c r="B1326" s="10"/>
      <c r="F1326" t="str">
        <f t="shared" si="18"/>
        <v/>
      </c>
    </row>
    <row r="1327" spans="2:6" x14ac:dyDescent="0.35">
      <c r="B1327" s="10"/>
      <c r="F1327" t="str">
        <f t="shared" si="18"/>
        <v/>
      </c>
    </row>
    <row r="1328" spans="2:6" x14ac:dyDescent="0.35">
      <c r="B1328" s="10"/>
      <c r="F1328" t="str">
        <f t="shared" si="18"/>
        <v/>
      </c>
    </row>
    <row r="1329" spans="2:6" x14ac:dyDescent="0.35">
      <c r="B1329" s="10"/>
      <c r="F1329" t="str">
        <f t="shared" si="18"/>
        <v/>
      </c>
    </row>
    <row r="1330" spans="2:6" x14ac:dyDescent="0.35">
      <c r="B1330" s="10"/>
      <c r="F1330" t="str">
        <f t="shared" si="18"/>
        <v/>
      </c>
    </row>
    <row r="1331" spans="2:6" x14ac:dyDescent="0.35">
      <c r="B1331" s="10"/>
      <c r="F1331" t="str">
        <f t="shared" si="18"/>
        <v/>
      </c>
    </row>
    <row r="1332" spans="2:6" x14ac:dyDescent="0.35">
      <c r="B1332" s="10"/>
      <c r="F1332" t="str">
        <f t="shared" si="18"/>
        <v/>
      </c>
    </row>
    <row r="1333" spans="2:6" x14ac:dyDescent="0.35">
      <c r="B1333" s="10"/>
      <c r="F1333" t="str">
        <f t="shared" si="18"/>
        <v/>
      </c>
    </row>
    <row r="1334" spans="2:6" x14ac:dyDescent="0.35">
      <c r="B1334" s="10"/>
      <c r="F1334" t="str">
        <f t="shared" si="18"/>
        <v/>
      </c>
    </row>
    <row r="1335" spans="2:6" x14ac:dyDescent="0.35">
      <c r="B1335" s="10"/>
      <c r="F1335" t="str">
        <f t="shared" si="18"/>
        <v/>
      </c>
    </row>
    <row r="1336" spans="2:6" x14ac:dyDescent="0.35">
      <c r="B1336" s="10"/>
      <c r="F1336" t="str">
        <f t="shared" si="18"/>
        <v/>
      </c>
    </row>
    <row r="1337" spans="2:6" x14ac:dyDescent="0.35">
      <c r="B1337" s="10"/>
      <c r="F1337" t="str">
        <f t="shared" si="18"/>
        <v/>
      </c>
    </row>
    <row r="1338" spans="2:6" x14ac:dyDescent="0.35">
      <c r="B1338" s="10"/>
      <c r="F1338" t="str">
        <f t="shared" si="18"/>
        <v/>
      </c>
    </row>
    <row r="1339" spans="2:6" x14ac:dyDescent="0.35">
      <c r="B1339" s="10"/>
      <c r="F1339" t="str">
        <f t="shared" si="18"/>
        <v/>
      </c>
    </row>
    <row r="1340" spans="2:6" x14ac:dyDescent="0.35">
      <c r="B1340" s="10"/>
      <c r="F1340" t="str">
        <f t="shared" si="18"/>
        <v/>
      </c>
    </row>
    <row r="1341" spans="2:6" x14ac:dyDescent="0.35">
      <c r="B1341" s="10"/>
      <c r="F1341" t="str">
        <f t="shared" si="18"/>
        <v/>
      </c>
    </row>
    <row r="1342" spans="2:6" x14ac:dyDescent="0.35">
      <c r="B1342" s="10"/>
      <c r="F1342" t="str">
        <f t="shared" si="18"/>
        <v/>
      </c>
    </row>
    <row r="1343" spans="2:6" x14ac:dyDescent="0.35">
      <c r="B1343" s="10"/>
      <c r="F1343" t="str">
        <f t="shared" si="18"/>
        <v/>
      </c>
    </row>
    <row r="1344" spans="2:6" x14ac:dyDescent="0.35">
      <c r="B1344" s="10"/>
      <c r="F1344" t="str">
        <f t="shared" si="18"/>
        <v/>
      </c>
    </row>
    <row r="1345" spans="2:6" x14ac:dyDescent="0.35">
      <c r="B1345" s="10"/>
      <c r="F1345" t="str">
        <f t="shared" si="18"/>
        <v/>
      </c>
    </row>
    <row r="1346" spans="2:6" x14ac:dyDescent="0.35">
      <c r="B1346" s="10"/>
      <c r="F1346" t="str">
        <f t="shared" ref="F1346:F1409" si="19">IF(LEFT(D1346,3)="นาย","ชาย",IF(LEFT(D1346,3)="นาง","หญิง",""))</f>
        <v/>
      </c>
    </row>
    <row r="1347" spans="2:6" x14ac:dyDescent="0.35">
      <c r="B1347" s="10"/>
      <c r="F1347" t="str">
        <f t="shared" si="19"/>
        <v/>
      </c>
    </row>
    <row r="1348" spans="2:6" x14ac:dyDescent="0.35">
      <c r="B1348" s="10"/>
      <c r="F1348" t="str">
        <f t="shared" si="19"/>
        <v/>
      </c>
    </row>
    <row r="1349" spans="2:6" x14ac:dyDescent="0.35">
      <c r="B1349" s="10"/>
      <c r="F1349" t="str">
        <f t="shared" si="19"/>
        <v/>
      </c>
    </row>
    <row r="1350" spans="2:6" x14ac:dyDescent="0.35">
      <c r="B1350" s="10"/>
      <c r="F1350" t="str">
        <f t="shared" si="19"/>
        <v/>
      </c>
    </row>
    <row r="1351" spans="2:6" x14ac:dyDescent="0.35">
      <c r="B1351" s="10"/>
      <c r="F1351" t="str">
        <f t="shared" si="19"/>
        <v/>
      </c>
    </row>
    <row r="1352" spans="2:6" x14ac:dyDescent="0.35">
      <c r="B1352" s="10"/>
      <c r="F1352" t="str">
        <f t="shared" si="19"/>
        <v/>
      </c>
    </row>
    <row r="1353" spans="2:6" x14ac:dyDescent="0.35">
      <c r="B1353" s="10"/>
      <c r="F1353" t="str">
        <f t="shared" si="19"/>
        <v/>
      </c>
    </row>
    <row r="1354" spans="2:6" x14ac:dyDescent="0.35">
      <c r="B1354" s="10"/>
      <c r="F1354" t="str">
        <f t="shared" si="19"/>
        <v/>
      </c>
    </row>
    <row r="1355" spans="2:6" x14ac:dyDescent="0.35">
      <c r="B1355" s="10"/>
      <c r="F1355" t="str">
        <f t="shared" si="19"/>
        <v/>
      </c>
    </row>
    <row r="1356" spans="2:6" x14ac:dyDescent="0.35">
      <c r="B1356" s="10"/>
      <c r="F1356" t="str">
        <f t="shared" si="19"/>
        <v/>
      </c>
    </row>
    <row r="1357" spans="2:6" x14ac:dyDescent="0.35">
      <c r="B1357" s="10"/>
      <c r="F1357" t="str">
        <f t="shared" si="19"/>
        <v/>
      </c>
    </row>
    <row r="1358" spans="2:6" x14ac:dyDescent="0.35">
      <c r="B1358" s="10"/>
      <c r="F1358" t="str">
        <f t="shared" si="19"/>
        <v/>
      </c>
    </row>
    <row r="1359" spans="2:6" x14ac:dyDescent="0.35">
      <c r="B1359" s="10"/>
      <c r="F1359" t="str">
        <f t="shared" si="19"/>
        <v/>
      </c>
    </row>
    <row r="1360" spans="2:6" x14ac:dyDescent="0.35">
      <c r="B1360" s="10"/>
      <c r="F1360" t="str">
        <f t="shared" si="19"/>
        <v/>
      </c>
    </row>
    <row r="1361" spans="2:6" x14ac:dyDescent="0.35">
      <c r="B1361" s="10"/>
      <c r="F1361" t="str">
        <f t="shared" si="19"/>
        <v/>
      </c>
    </row>
    <row r="1362" spans="2:6" x14ac:dyDescent="0.35">
      <c r="B1362" s="10"/>
      <c r="F1362" t="str">
        <f t="shared" si="19"/>
        <v/>
      </c>
    </row>
    <row r="1363" spans="2:6" x14ac:dyDescent="0.35">
      <c r="B1363" s="10"/>
      <c r="F1363" t="str">
        <f t="shared" si="19"/>
        <v/>
      </c>
    </row>
    <row r="1364" spans="2:6" x14ac:dyDescent="0.35">
      <c r="B1364" s="10"/>
      <c r="F1364" t="str">
        <f t="shared" si="19"/>
        <v/>
      </c>
    </row>
    <row r="1365" spans="2:6" x14ac:dyDescent="0.35">
      <c r="B1365" s="10"/>
      <c r="F1365" t="str">
        <f t="shared" si="19"/>
        <v/>
      </c>
    </row>
    <row r="1366" spans="2:6" x14ac:dyDescent="0.35">
      <c r="B1366" s="10"/>
      <c r="F1366" t="str">
        <f t="shared" si="19"/>
        <v/>
      </c>
    </row>
    <row r="1367" spans="2:6" x14ac:dyDescent="0.35">
      <c r="B1367" s="10"/>
      <c r="F1367" t="str">
        <f t="shared" si="19"/>
        <v/>
      </c>
    </row>
    <row r="1368" spans="2:6" x14ac:dyDescent="0.35">
      <c r="B1368" s="10"/>
      <c r="F1368" t="str">
        <f t="shared" si="19"/>
        <v/>
      </c>
    </row>
    <row r="1369" spans="2:6" x14ac:dyDescent="0.35">
      <c r="B1369" s="10"/>
      <c r="F1369" t="str">
        <f t="shared" si="19"/>
        <v/>
      </c>
    </row>
    <row r="1370" spans="2:6" x14ac:dyDescent="0.35">
      <c r="B1370" s="10"/>
      <c r="F1370" t="str">
        <f t="shared" si="19"/>
        <v/>
      </c>
    </row>
    <row r="1371" spans="2:6" x14ac:dyDescent="0.35">
      <c r="B1371" s="10"/>
      <c r="F1371" t="str">
        <f t="shared" si="19"/>
        <v/>
      </c>
    </row>
    <row r="1372" spans="2:6" x14ac:dyDescent="0.35">
      <c r="B1372" s="10"/>
      <c r="F1372" t="str">
        <f t="shared" si="19"/>
        <v/>
      </c>
    </row>
    <row r="1373" spans="2:6" x14ac:dyDescent="0.35">
      <c r="B1373" s="10"/>
      <c r="F1373" t="str">
        <f t="shared" si="19"/>
        <v/>
      </c>
    </row>
    <row r="1374" spans="2:6" x14ac:dyDescent="0.35">
      <c r="B1374" s="10"/>
      <c r="F1374" t="str">
        <f t="shared" si="19"/>
        <v/>
      </c>
    </row>
    <row r="1375" spans="2:6" x14ac:dyDescent="0.35">
      <c r="B1375" s="10"/>
      <c r="F1375" t="str">
        <f t="shared" si="19"/>
        <v/>
      </c>
    </row>
    <row r="1376" spans="2:6" x14ac:dyDescent="0.35">
      <c r="B1376" s="10"/>
      <c r="F1376" t="str">
        <f t="shared" si="19"/>
        <v/>
      </c>
    </row>
    <row r="1377" spans="2:6" x14ac:dyDescent="0.35">
      <c r="B1377" s="10"/>
      <c r="F1377" t="str">
        <f t="shared" si="19"/>
        <v/>
      </c>
    </row>
    <row r="1378" spans="2:6" x14ac:dyDescent="0.35">
      <c r="B1378" s="10"/>
      <c r="F1378" t="str">
        <f t="shared" si="19"/>
        <v/>
      </c>
    </row>
    <row r="1379" spans="2:6" x14ac:dyDescent="0.35">
      <c r="B1379" s="10"/>
      <c r="F1379" t="str">
        <f t="shared" si="19"/>
        <v/>
      </c>
    </row>
    <row r="1380" spans="2:6" x14ac:dyDescent="0.35">
      <c r="B1380" s="10"/>
      <c r="F1380" t="str">
        <f t="shared" si="19"/>
        <v/>
      </c>
    </row>
    <row r="1381" spans="2:6" x14ac:dyDescent="0.35">
      <c r="B1381" s="10"/>
      <c r="F1381" t="str">
        <f t="shared" si="19"/>
        <v/>
      </c>
    </row>
    <row r="1382" spans="2:6" x14ac:dyDescent="0.35">
      <c r="B1382" s="10"/>
      <c r="F1382" t="str">
        <f t="shared" si="19"/>
        <v/>
      </c>
    </row>
    <row r="1383" spans="2:6" x14ac:dyDescent="0.35">
      <c r="B1383" s="10"/>
      <c r="F1383" t="str">
        <f t="shared" si="19"/>
        <v/>
      </c>
    </row>
    <row r="1384" spans="2:6" x14ac:dyDescent="0.35">
      <c r="B1384" s="10"/>
      <c r="F1384" t="str">
        <f t="shared" si="19"/>
        <v/>
      </c>
    </row>
    <row r="1385" spans="2:6" x14ac:dyDescent="0.35">
      <c r="B1385" s="10"/>
      <c r="F1385" t="str">
        <f t="shared" si="19"/>
        <v/>
      </c>
    </row>
    <row r="1386" spans="2:6" x14ac:dyDescent="0.35">
      <c r="B1386" s="10"/>
      <c r="F1386" t="str">
        <f t="shared" si="19"/>
        <v/>
      </c>
    </row>
    <row r="1387" spans="2:6" x14ac:dyDescent="0.35">
      <c r="B1387" s="10"/>
      <c r="F1387" t="str">
        <f t="shared" si="19"/>
        <v/>
      </c>
    </row>
    <row r="1388" spans="2:6" x14ac:dyDescent="0.35">
      <c r="B1388" s="10"/>
      <c r="F1388" t="str">
        <f t="shared" si="19"/>
        <v/>
      </c>
    </row>
    <row r="1389" spans="2:6" x14ac:dyDescent="0.35">
      <c r="B1389" s="10"/>
      <c r="F1389" t="str">
        <f t="shared" si="19"/>
        <v/>
      </c>
    </row>
    <row r="1390" spans="2:6" x14ac:dyDescent="0.35">
      <c r="B1390" s="10"/>
      <c r="F1390" t="str">
        <f t="shared" si="19"/>
        <v/>
      </c>
    </row>
    <row r="1391" spans="2:6" x14ac:dyDescent="0.35">
      <c r="B1391" s="10"/>
      <c r="F1391" t="str">
        <f t="shared" si="19"/>
        <v/>
      </c>
    </row>
    <row r="1392" spans="2:6" x14ac:dyDescent="0.35">
      <c r="B1392" s="10"/>
      <c r="F1392" t="str">
        <f t="shared" si="19"/>
        <v/>
      </c>
    </row>
    <row r="1393" spans="2:6" x14ac:dyDescent="0.35">
      <c r="B1393" s="10"/>
      <c r="F1393" t="str">
        <f t="shared" si="19"/>
        <v/>
      </c>
    </row>
    <row r="1394" spans="2:6" x14ac:dyDescent="0.35">
      <c r="B1394" s="10"/>
      <c r="F1394" t="str">
        <f t="shared" si="19"/>
        <v/>
      </c>
    </row>
    <row r="1395" spans="2:6" x14ac:dyDescent="0.35">
      <c r="B1395" s="10"/>
      <c r="F1395" t="str">
        <f t="shared" si="19"/>
        <v/>
      </c>
    </row>
    <row r="1396" spans="2:6" x14ac:dyDescent="0.35">
      <c r="B1396" s="10"/>
      <c r="F1396" t="str">
        <f t="shared" si="19"/>
        <v/>
      </c>
    </row>
    <row r="1397" spans="2:6" x14ac:dyDescent="0.35">
      <c r="B1397" s="10"/>
      <c r="F1397" t="str">
        <f t="shared" si="19"/>
        <v/>
      </c>
    </row>
    <row r="1398" spans="2:6" x14ac:dyDescent="0.35">
      <c r="B1398" s="10"/>
      <c r="F1398" t="str">
        <f t="shared" si="19"/>
        <v/>
      </c>
    </row>
    <row r="1399" spans="2:6" x14ac:dyDescent="0.35">
      <c r="B1399" s="10"/>
      <c r="F1399" t="str">
        <f t="shared" si="19"/>
        <v/>
      </c>
    </row>
    <row r="1400" spans="2:6" x14ac:dyDescent="0.35">
      <c r="B1400" s="10"/>
      <c r="F1400" t="str">
        <f t="shared" si="19"/>
        <v/>
      </c>
    </row>
    <row r="1401" spans="2:6" x14ac:dyDescent="0.35">
      <c r="B1401" s="10"/>
      <c r="F1401" t="str">
        <f t="shared" si="19"/>
        <v/>
      </c>
    </row>
    <row r="1402" spans="2:6" x14ac:dyDescent="0.35">
      <c r="B1402" s="10"/>
      <c r="F1402" t="str">
        <f t="shared" si="19"/>
        <v/>
      </c>
    </row>
    <row r="1403" spans="2:6" x14ac:dyDescent="0.35">
      <c r="B1403" s="10"/>
      <c r="F1403" t="str">
        <f t="shared" si="19"/>
        <v/>
      </c>
    </row>
    <row r="1404" spans="2:6" x14ac:dyDescent="0.35">
      <c r="B1404" s="10"/>
      <c r="F1404" t="str">
        <f t="shared" si="19"/>
        <v/>
      </c>
    </row>
    <row r="1405" spans="2:6" x14ac:dyDescent="0.35">
      <c r="B1405" s="10"/>
      <c r="F1405" t="str">
        <f t="shared" si="19"/>
        <v/>
      </c>
    </row>
    <row r="1406" spans="2:6" x14ac:dyDescent="0.35">
      <c r="B1406" s="10"/>
      <c r="F1406" t="str">
        <f t="shared" si="19"/>
        <v/>
      </c>
    </row>
    <row r="1407" spans="2:6" x14ac:dyDescent="0.35">
      <c r="B1407" s="10"/>
      <c r="F1407" t="str">
        <f t="shared" si="19"/>
        <v/>
      </c>
    </row>
    <row r="1408" spans="2:6" x14ac:dyDescent="0.35">
      <c r="B1408" s="10"/>
      <c r="F1408" t="str">
        <f t="shared" si="19"/>
        <v/>
      </c>
    </row>
    <row r="1409" spans="2:6" x14ac:dyDescent="0.35">
      <c r="B1409" s="10"/>
      <c r="F1409" t="str">
        <f t="shared" si="19"/>
        <v/>
      </c>
    </row>
    <row r="1410" spans="2:6" x14ac:dyDescent="0.35">
      <c r="B1410" s="10"/>
      <c r="F1410" t="str">
        <f t="shared" ref="F1410:F1430" si="20">IF(LEFT(D1410,3)="นาย","ชาย",IF(LEFT(D1410,3)="นาง","หญิง",""))</f>
        <v/>
      </c>
    </row>
    <row r="1411" spans="2:6" x14ac:dyDescent="0.35">
      <c r="B1411" s="10"/>
      <c r="F1411" t="str">
        <f t="shared" si="20"/>
        <v/>
      </c>
    </row>
    <row r="1412" spans="2:6" x14ac:dyDescent="0.35">
      <c r="B1412" s="10"/>
      <c r="F1412" t="str">
        <f t="shared" si="20"/>
        <v/>
      </c>
    </row>
    <row r="1413" spans="2:6" x14ac:dyDescent="0.35">
      <c r="B1413" s="10"/>
      <c r="F1413" t="str">
        <f t="shared" si="20"/>
        <v/>
      </c>
    </row>
    <row r="1414" spans="2:6" x14ac:dyDescent="0.35">
      <c r="B1414" s="10"/>
      <c r="F1414" t="str">
        <f t="shared" si="20"/>
        <v/>
      </c>
    </row>
    <row r="1415" spans="2:6" x14ac:dyDescent="0.35">
      <c r="B1415" s="10"/>
      <c r="F1415" t="str">
        <f t="shared" si="20"/>
        <v/>
      </c>
    </row>
    <row r="1416" spans="2:6" x14ac:dyDescent="0.35">
      <c r="B1416" s="10"/>
      <c r="F1416" t="str">
        <f t="shared" si="20"/>
        <v/>
      </c>
    </row>
    <row r="1417" spans="2:6" x14ac:dyDescent="0.35">
      <c r="B1417" s="10"/>
      <c r="F1417" t="str">
        <f t="shared" si="20"/>
        <v/>
      </c>
    </row>
    <row r="1418" spans="2:6" x14ac:dyDescent="0.35">
      <c r="B1418" s="10"/>
      <c r="F1418" t="str">
        <f t="shared" si="20"/>
        <v/>
      </c>
    </row>
    <row r="1419" spans="2:6" x14ac:dyDescent="0.35">
      <c r="B1419" s="10"/>
      <c r="F1419" t="str">
        <f t="shared" si="20"/>
        <v/>
      </c>
    </row>
    <row r="1420" spans="2:6" x14ac:dyDescent="0.35">
      <c r="B1420" s="10"/>
      <c r="F1420" t="str">
        <f t="shared" si="20"/>
        <v/>
      </c>
    </row>
    <row r="1421" spans="2:6" x14ac:dyDescent="0.35">
      <c r="B1421" s="10"/>
      <c r="F1421" t="str">
        <f t="shared" si="20"/>
        <v/>
      </c>
    </row>
    <row r="1422" spans="2:6" x14ac:dyDescent="0.35">
      <c r="B1422" s="10"/>
      <c r="F1422" t="str">
        <f t="shared" si="20"/>
        <v/>
      </c>
    </row>
    <row r="1423" spans="2:6" x14ac:dyDescent="0.35">
      <c r="B1423" s="10"/>
      <c r="F1423" t="str">
        <f t="shared" si="20"/>
        <v/>
      </c>
    </row>
    <row r="1424" spans="2:6" x14ac:dyDescent="0.35">
      <c r="B1424" s="10"/>
      <c r="F1424" t="str">
        <f t="shared" si="20"/>
        <v/>
      </c>
    </row>
    <row r="1425" spans="2:6" x14ac:dyDescent="0.35">
      <c r="B1425" s="10"/>
      <c r="F1425" t="str">
        <f t="shared" si="20"/>
        <v/>
      </c>
    </row>
    <row r="1426" spans="2:6" x14ac:dyDescent="0.35">
      <c r="B1426" s="10"/>
      <c r="F1426" t="str">
        <f t="shared" si="20"/>
        <v/>
      </c>
    </row>
    <row r="1427" spans="2:6" x14ac:dyDescent="0.35">
      <c r="B1427" s="10"/>
      <c r="F1427" t="str">
        <f t="shared" si="20"/>
        <v/>
      </c>
    </row>
    <row r="1428" spans="2:6" x14ac:dyDescent="0.35">
      <c r="B1428" s="10"/>
      <c r="F1428" t="str">
        <f t="shared" si="20"/>
        <v/>
      </c>
    </row>
    <row r="1429" spans="2:6" x14ac:dyDescent="0.35">
      <c r="B1429" s="10"/>
      <c r="F1429" t="str">
        <f t="shared" si="20"/>
        <v/>
      </c>
    </row>
    <row r="1430" spans="2:6" x14ac:dyDescent="0.35">
      <c r="B1430" s="10"/>
      <c r="F1430" t="str">
        <f t="shared" si="20"/>
        <v/>
      </c>
    </row>
  </sheetData>
  <autoFilter ref="A1:G157" xr:uid="{12C8810C-7A94-482D-9359-D527674E3707}">
    <sortState xmlns:xlrd2="http://schemas.microsoft.com/office/spreadsheetml/2017/richdata2" ref="A2:G1435">
      <sortCondition ref="B1:B157"/>
    </sortState>
  </autoFilter>
  <dataValidations count="2">
    <dataValidation type="list" allowBlank="1" showInputMessage="1" showErrorMessage="1" sqref="B2:B896" xr:uid="{B1D97BDD-C384-43C2-B895-FBFE15354D79}">
      <formula1>รุ่นที่ฝึก</formula1>
    </dataValidation>
    <dataValidation type="list" allowBlank="1" showInputMessage="1" showErrorMessage="1" sqref="G2:G1048576" xr:uid="{8B285EEC-5F98-44CD-8E40-1EF8977143FC}">
      <formula1>"ผ่าน,ไม่ผ่าน"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B8EE-90C2-4DFE-AD6F-F9BCF247BAB6}">
  <dimension ref="A1:K2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" sqref="F1"/>
    </sheetView>
  </sheetViews>
  <sheetFormatPr defaultRowHeight="21" x14ac:dyDescent="0.35"/>
  <cols>
    <col min="1" max="1" width="6.75" customWidth="1"/>
    <col min="3" max="3" width="10" customWidth="1"/>
    <col min="4" max="4" width="11.625" style="58" customWidth="1"/>
    <col min="5" max="5" width="21.375" customWidth="1"/>
    <col min="6" max="6" width="10.25" customWidth="1"/>
    <col min="7" max="7" width="10.625" customWidth="1"/>
    <col min="8" max="8" width="13" customWidth="1"/>
    <col min="9" max="9" width="10.375" customWidth="1"/>
    <col min="10" max="11" width="13.75" customWidth="1"/>
  </cols>
  <sheetData>
    <row r="1" spans="1:11" x14ac:dyDescent="0.35">
      <c r="A1" t="s">
        <v>534</v>
      </c>
      <c r="E1" t="s">
        <v>607</v>
      </c>
      <c r="F1" s="66">
        <v>69013</v>
      </c>
    </row>
    <row r="2" spans="1:11" x14ac:dyDescent="0.35">
      <c r="A2" t="s">
        <v>287</v>
      </c>
      <c r="B2" t="s">
        <v>531</v>
      </c>
      <c r="C2" t="s">
        <v>536</v>
      </c>
      <c r="D2" s="58" t="s">
        <v>608</v>
      </c>
      <c r="E2" t="s">
        <v>535</v>
      </c>
      <c r="F2" t="s">
        <v>537</v>
      </c>
      <c r="G2" t="s">
        <v>543</v>
      </c>
      <c r="H2" t="s">
        <v>544</v>
      </c>
      <c r="I2" t="s">
        <v>618</v>
      </c>
      <c r="J2" t="s">
        <v>617</v>
      </c>
      <c r="K2" t="s">
        <v>625</v>
      </c>
    </row>
    <row r="3" spans="1:11" x14ac:dyDescent="0.35">
      <c r="A3">
        <v>1</v>
      </c>
      <c r="B3" s="10">
        <v>69002</v>
      </c>
      <c r="C3" s="54">
        <v>45972</v>
      </c>
      <c r="D3" s="58" t="s">
        <v>1169</v>
      </c>
      <c r="E3" t="s">
        <v>306</v>
      </c>
      <c r="F3" t="s">
        <v>1168</v>
      </c>
      <c r="G3" t="s">
        <v>604</v>
      </c>
      <c r="H3">
        <v>25</v>
      </c>
      <c r="I3" s="54">
        <v>45982</v>
      </c>
      <c r="J3">
        <v>25</v>
      </c>
      <c r="K3">
        <v>25</v>
      </c>
    </row>
    <row r="4" spans="1:11" x14ac:dyDescent="0.35">
      <c r="A4">
        <v>2</v>
      </c>
      <c r="B4" s="10">
        <v>69009</v>
      </c>
      <c r="C4" s="54">
        <v>46034</v>
      </c>
      <c r="D4" s="58" t="s">
        <v>1362</v>
      </c>
      <c r="E4" t="s">
        <v>306</v>
      </c>
      <c r="F4" t="s">
        <v>1363</v>
      </c>
      <c r="G4" t="s">
        <v>604</v>
      </c>
      <c r="H4">
        <v>23</v>
      </c>
      <c r="I4" s="54">
        <v>45686</v>
      </c>
      <c r="J4">
        <v>21</v>
      </c>
      <c r="K4">
        <v>21</v>
      </c>
    </row>
    <row r="5" spans="1:11" x14ac:dyDescent="0.35">
      <c r="A5">
        <v>3</v>
      </c>
      <c r="B5" s="10">
        <v>69013</v>
      </c>
      <c r="C5" s="54">
        <v>46052</v>
      </c>
      <c r="E5" t="s">
        <v>873</v>
      </c>
      <c r="G5" t="s">
        <v>604</v>
      </c>
      <c r="H5">
        <v>24</v>
      </c>
      <c r="I5" s="54"/>
    </row>
    <row r="6" spans="1:11" x14ac:dyDescent="0.35">
      <c r="A6">
        <v>4</v>
      </c>
      <c r="B6" s="10"/>
      <c r="C6" s="54"/>
      <c r="I6" s="54"/>
    </row>
    <row r="7" spans="1:11" x14ac:dyDescent="0.35">
      <c r="A7">
        <v>5</v>
      </c>
      <c r="B7" s="10"/>
      <c r="C7" s="54"/>
      <c r="I7" s="54"/>
    </row>
    <row r="8" spans="1:11" x14ac:dyDescent="0.35">
      <c r="A8">
        <v>6</v>
      </c>
      <c r="B8" s="10"/>
      <c r="C8" s="54"/>
      <c r="I8" s="54"/>
    </row>
    <row r="9" spans="1:11" x14ac:dyDescent="0.35">
      <c r="A9">
        <v>7</v>
      </c>
      <c r="B9" s="10"/>
      <c r="C9" s="54"/>
      <c r="I9" s="54"/>
    </row>
    <row r="10" spans="1:11" x14ac:dyDescent="0.35">
      <c r="A10">
        <v>8</v>
      </c>
      <c r="B10" s="10"/>
      <c r="C10" s="54"/>
      <c r="I10" s="54"/>
    </row>
    <row r="11" spans="1:11" x14ac:dyDescent="0.35">
      <c r="A11">
        <v>9</v>
      </c>
      <c r="B11" s="10"/>
      <c r="C11" s="54"/>
      <c r="I11" s="54"/>
    </row>
    <row r="12" spans="1:11" x14ac:dyDescent="0.35">
      <c r="A12">
        <v>10</v>
      </c>
      <c r="B12" s="10"/>
      <c r="C12" s="54"/>
      <c r="I12" s="54"/>
    </row>
    <row r="13" spans="1:11" x14ac:dyDescent="0.35">
      <c r="A13">
        <v>11</v>
      </c>
      <c r="B13" s="10"/>
      <c r="C13" s="54"/>
      <c r="I13" s="54"/>
    </row>
    <row r="14" spans="1:11" x14ac:dyDescent="0.35">
      <c r="A14">
        <v>12</v>
      </c>
      <c r="B14" s="10"/>
      <c r="C14" s="54"/>
      <c r="I14" s="54"/>
    </row>
    <row r="15" spans="1:11" x14ac:dyDescent="0.35">
      <c r="A15">
        <v>13</v>
      </c>
      <c r="B15" s="10"/>
      <c r="C15" s="54"/>
      <c r="I15" s="54"/>
    </row>
    <row r="16" spans="1:11" x14ac:dyDescent="0.35">
      <c r="A16">
        <v>14</v>
      </c>
      <c r="B16" s="10"/>
      <c r="C16" s="54"/>
      <c r="I16" s="54"/>
    </row>
    <row r="17" spans="1:9" x14ac:dyDescent="0.35">
      <c r="A17">
        <v>15</v>
      </c>
      <c r="B17" s="10"/>
      <c r="C17" s="54"/>
      <c r="I17" s="54"/>
    </row>
    <row r="18" spans="1:9" x14ac:dyDescent="0.35">
      <c r="A18">
        <v>16</v>
      </c>
      <c r="B18" s="10"/>
      <c r="C18" s="54"/>
      <c r="I18" s="54"/>
    </row>
    <row r="19" spans="1:9" x14ac:dyDescent="0.35">
      <c r="A19">
        <v>17</v>
      </c>
      <c r="B19" s="10"/>
      <c r="C19" s="54"/>
      <c r="I19" s="54"/>
    </row>
    <row r="20" spans="1:9" x14ac:dyDescent="0.35">
      <c r="A20">
        <v>18</v>
      </c>
      <c r="B20" s="10"/>
      <c r="C20" s="54"/>
      <c r="I20" s="54"/>
    </row>
    <row r="21" spans="1:9" x14ac:dyDescent="0.35">
      <c r="A21">
        <v>19</v>
      </c>
      <c r="B21" s="10"/>
      <c r="C21" s="54"/>
      <c r="I21" s="54"/>
    </row>
    <row r="22" spans="1:9" x14ac:dyDescent="0.35">
      <c r="A22">
        <v>20</v>
      </c>
      <c r="B22" s="10"/>
      <c r="C22" s="54"/>
      <c r="I22" s="54"/>
    </row>
    <row r="23" spans="1:9" x14ac:dyDescent="0.35">
      <c r="A23">
        <v>21</v>
      </c>
      <c r="B23" s="10"/>
      <c r="C23" s="54"/>
    </row>
  </sheetData>
  <phoneticPr fontId="3" type="noConversion"/>
  <dataValidations count="3">
    <dataValidation type="list" allowBlank="1" showInputMessage="1" showErrorMessage="1" sqref="E16:E23 E3:E14" xr:uid="{564D2958-6FF8-409A-B428-717905BDB8B0}">
      <formula1>ชื่อเจ้าหน้าที่</formula1>
    </dataValidation>
    <dataValidation type="list" allowBlank="1" showInputMessage="1" showErrorMessage="1" sqref="F1 B3:B13" xr:uid="{D3EFC5CC-73FE-4B65-9380-AE6AEA65786C}">
      <formula1>รุ่นที่ฝึก</formula1>
    </dataValidation>
    <dataValidation type="list" allowBlank="1" showInputMessage="1" showErrorMessage="1" sqref="G3:G1048576" xr:uid="{12040ED8-E8C6-4600-BFE3-8D74B302F567}">
      <formula1>"ค่าอาหาร,ค่าอาหาร และ ค่าอาหารว่างและเครื่องดื่ม"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6CE5-E0E2-473D-8CDA-C2CA2FAB108F}">
  <dimension ref="A1:CV32"/>
  <sheetViews>
    <sheetView workbookViewId="0">
      <selection sqref="A1:XFD2"/>
    </sheetView>
  </sheetViews>
  <sheetFormatPr defaultRowHeight="21" x14ac:dyDescent="0.35"/>
  <cols>
    <col min="1" max="1" width="8.75" style="10"/>
    <col min="2" max="2" width="11.25" style="10" customWidth="1"/>
    <col min="3" max="3" width="10.125" customWidth="1"/>
    <col min="4" max="4" width="10.125" style="58" customWidth="1"/>
    <col min="5" max="5" width="10.875" customWidth="1"/>
    <col min="7" max="7" width="15.5" customWidth="1"/>
    <col min="13" max="13" width="8.875" bestFit="1" customWidth="1"/>
    <col min="16" max="16" width="14.25" customWidth="1"/>
    <col min="18" max="18" width="9.25" customWidth="1"/>
    <col min="20" max="20" width="9.25" customWidth="1"/>
    <col min="22" max="22" width="8.625" customWidth="1"/>
    <col min="24" max="24" width="11" customWidth="1"/>
    <col min="33" max="33" width="9.25" customWidth="1"/>
    <col min="45" max="45" width="11.25" customWidth="1"/>
    <col min="47" max="47" width="10.5" style="54" customWidth="1"/>
  </cols>
  <sheetData>
    <row r="1" spans="1:100" x14ac:dyDescent="0.35">
      <c r="A1" s="10" t="s">
        <v>558</v>
      </c>
      <c r="B1" s="10" t="s">
        <v>520</v>
      </c>
      <c r="C1" t="s">
        <v>478</v>
      </c>
      <c r="D1" s="58" t="s">
        <v>519</v>
      </c>
      <c r="E1" t="s">
        <v>3</v>
      </c>
      <c r="F1" t="s">
        <v>448</v>
      </c>
      <c r="G1" t="s">
        <v>501</v>
      </c>
      <c r="H1" t="s">
        <v>441</v>
      </c>
      <c r="I1" t="s">
        <v>502</v>
      </c>
      <c r="J1" t="s">
        <v>477</v>
      </c>
      <c r="K1" t="s">
        <v>449</v>
      </c>
      <c r="L1" t="s">
        <v>504</v>
      </c>
      <c r="M1" t="s">
        <v>454</v>
      </c>
      <c r="N1" t="s">
        <v>445</v>
      </c>
      <c r="O1" t="s">
        <v>12</v>
      </c>
      <c r="P1" t="s">
        <v>506</v>
      </c>
      <c r="Q1" t="s">
        <v>450</v>
      </c>
      <c r="R1" t="s">
        <v>509</v>
      </c>
      <c r="S1" t="s">
        <v>451</v>
      </c>
      <c r="T1" t="s">
        <v>507</v>
      </c>
      <c r="U1" t="s">
        <v>452</v>
      </c>
      <c r="V1" t="s">
        <v>510</v>
      </c>
      <c r="W1" t="s">
        <v>453</v>
      </c>
      <c r="X1" t="s">
        <v>508</v>
      </c>
      <c r="Y1" t="s">
        <v>458</v>
      </c>
      <c r="Z1" t="s">
        <v>456</v>
      </c>
      <c r="AA1" t="s">
        <v>455</v>
      </c>
      <c r="AB1" t="s">
        <v>457</v>
      </c>
      <c r="AC1" t="s">
        <v>511</v>
      </c>
      <c r="AD1" t="s">
        <v>512</v>
      </c>
      <c r="AE1" t="s">
        <v>513</v>
      </c>
      <c r="AF1" t="s">
        <v>563</v>
      </c>
      <c r="AG1" t="s">
        <v>514</v>
      </c>
      <c r="AH1" t="s">
        <v>562</v>
      </c>
      <c r="AI1" t="s">
        <v>515</v>
      </c>
      <c r="AJ1" t="s">
        <v>516</v>
      </c>
      <c r="AK1" t="s">
        <v>517</v>
      </c>
      <c r="AL1" t="s">
        <v>518</v>
      </c>
      <c r="AM1" t="s">
        <v>493</v>
      </c>
      <c r="AN1" t="s">
        <v>8</v>
      </c>
      <c r="AO1" t="s">
        <v>1</v>
      </c>
      <c r="AP1" t="s">
        <v>2</v>
      </c>
      <c r="AQ1" t="s">
        <v>3</v>
      </c>
      <c r="AR1" t="s">
        <v>4</v>
      </c>
      <c r="AS1" t="s">
        <v>978</v>
      </c>
      <c r="AT1" t="s">
        <v>444</v>
      </c>
      <c r="AU1" t="s">
        <v>564</v>
      </c>
      <c r="AV1" t="s">
        <v>565</v>
      </c>
      <c r="AW1" t="s">
        <v>561</v>
      </c>
      <c r="AX1" t="s">
        <v>560</v>
      </c>
      <c r="AY1" s="56">
        <v>1</v>
      </c>
      <c r="AZ1" s="56">
        <v>2</v>
      </c>
      <c r="BA1">
        <v>3</v>
      </c>
      <c r="BB1" s="56">
        <v>4</v>
      </c>
      <c r="BC1">
        <v>5</v>
      </c>
      <c r="BD1">
        <v>6</v>
      </c>
      <c r="BE1">
        <v>7</v>
      </c>
      <c r="BF1">
        <v>8</v>
      </c>
      <c r="BG1">
        <v>9</v>
      </c>
      <c r="BH1">
        <v>10</v>
      </c>
      <c r="BI1">
        <v>11</v>
      </c>
      <c r="BJ1">
        <v>12</v>
      </c>
      <c r="BK1">
        <v>13</v>
      </c>
      <c r="BL1">
        <v>14</v>
      </c>
      <c r="BM1">
        <v>15</v>
      </c>
      <c r="BN1">
        <v>16</v>
      </c>
      <c r="BO1">
        <v>17</v>
      </c>
      <c r="BP1">
        <v>18</v>
      </c>
      <c r="BQ1">
        <v>19</v>
      </c>
      <c r="BR1">
        <v>20</v>
      </c>
      <c r="BS1">
        <v>21</v>
      </c>
      <c r="BT1">
        <v>22</v>
      </c>
      <c r="BU1">
        <v>23</v>
      </c>
      <c r="BV1">
        <v>24</v>
      </c>
      <c r="BW1">
        <v>25</v>
      </c>
      <c r="BX1">
        <v>26</v>
      </c>
      <c r="BY1">
        <v>27</v>
      </c>
      <c r="BZ1">
        <v>28</v>
      </c>
      <c r="CA1">
        <v>29</v>
      </c>
      <c r="CB1">
        <v>30</v>
      </c>
      <c r="CC1">
        <v>31</v>
      </c>
      <c r="CD1">
        <v>32</v>
      </c>
      <c r="CE1">
        <v>33</v>
      </c>
      <c r="CF1">
        <v>34</v>
      </c>
      <c r="CG1">
        <v>35</v>
      </c>
      <c r="CH1">
        <v>36</v>
      </c>
      <c r="CI1">
        <v>37</v>
      </c>
      <c r="CJ1">
        <v>38</v>
      </c>
      <c r="CK1">
        <v>39</v>
      </c>
      <c r="CL1">
        <v>40</v>
      </c>
      <c r="CM1">
        <v>41</v>
      </c>
      <c r="CN1">
        <v>42</v>
      </c>
      <c r="CO1">
        <v>43</v>
      </c>
      <c r="CP1">
        <v>44</v>
      </c>
      <c r="CQ1">
        <v>45</v>
      </c>
      <c r="CR1">
        <v>46</v>
      </c>
      <c r="CS1">
        <v>47</v>
      </c>
      <c r="CT1">
        <v>48</v>
      </c>
      <c r="CU1">
        <v>49</v>
      </c>
      <c r="CV1">
        <v>50</v>
      </c>
    </row>
    <row r="2" spans="1:100" x14ac:dyDescent="0.35">
      <c r="A2" s="63">
        <f>รายการฝึก!E1</f>
        <v>69013</v>
      </c>
      <c r="B2" s="10">
        <f ca="1">VLOOKUP($A$2,รายการฝึก,22,FALSE)</f>
        <v>0</v>
      </c>
      <c r="C2" s="54">
        <f ca="1">VLOOKUP($A$2,รายการฝึก,2,FALSE)</f>
        <v>46051</v>
      </c>
      <c r="D2" s="58">
        <f ca="1">VLOOKUP($A$2,รายการฝึก,3,FALSE)</f>
        <v>82</v>
      </c>
      <c r="E2" t="str">
        <f ca="1">VLOOKUP($A$2,รายการฝึก,4,FALSE)</f>
        <v>โลจิสติกส์</v>
      </c>
      <c r="F2" t="str">
        <f ca="1">VLOOKUP($A$2,รายการฝึก,5,FALSE)</f>
        <v>พนักงานขับรถฟอร์กลิฟต์ไม่เกิน 10 ตัน</v>
      </c>
      <c r="G2" s="56">
        <f ca="1">VLOOKUP(F2,หลักสูตร,2,FALSE)</f>
        <v>920227360106</v>
      </c>
      <c r="H2">
        <f ca="1">VLOOKUP(F2,หลักสูตร,3,FALSE)</f>
        <v>30</v>
      </c>
      <c r="I2" t="str">
        <f ca="1">VLOOKUP(F2,หลักสูตร,4,FALSE)</f>
        <v xml:space="preserve">ยกระดับฝีมือ </v>
      </c>
      <c r="J2" t="str">
        <f ca="1">VLOOKUP($A$2,รายการฝึก,6,FALSE)</f>
        <v>9 - 12 กุมภาพันธ์ 2569</v>
      </c>
      <c r="K2" t="str">
        <f ca="1">VLOOKUP($A$2,รายการฝึก,7,FALSE)</f>
        <v xml:space="preserve">08.30 - 17.00 น. </v>
      </c>
      <c r="L2" t="str">
        <f ca="1">VLOOKUP($A$2,รายการฝึก,8,FALSE)</f>
        <v>แรงงานในสถานประกอบกิจการและผู้สนใจประกอบอาชีพ</v>
      </c>
      <c r="M2">
        <f ca="1">VLOOKUP($A$2,รายการฝึก,9,FALSE)</f>
        <v>24</v>
      </c>
      <c r="N2" t="str">
        <f ca="1">VLOOKUP($A$2,รายการฝึก,10,FALSE)</f>
        <v>สถาบันพัฒนาฝีมือแรงงาน 3 ชลบุรี</v>
      </c>
      <c r="O2" t="str">
        <f ca="1">VLOOKUP($A$2,รายการฝึก,11,FALSE)</f>
        <v>นางณชวรินทร์  เปรี่ยมพิมาย</v>
      </c>
      <c r="P2" s="56">
        <f ca="1">VLOOKUP(O2,วิทยากร,2,FALSE)</f>
        <v>3219900004992</v>
      </c>
      <c r="Q2" t="str">
        <f ca="1">VLOOKUP($A$2,รายการฝึก,12,FALSE)</f>
        <v>นายสุราษฎร์ ฤทธิดำรงการ</v>
      </c>
      <c r="R2" t="str">
        <f ca="1">VLOOKUP(Q2,เจ้าหน้าที่,2,FALSE)</f>
        <v>นักวิชาการพัฒนาฝีมือแรงงานชำนาญการ</v>
      </c>
      <c r="S2" t="str">
        <f ca="1">VLOOKUP($A$2,รายการฝึก,13,FALSE)</f>
        <v>นายชินพันธุ์ แพฟื้น</v>
      </c>
      <c r="T2" t="str">
        <f ca="1">VLOOKUP(S2,เจ้าหน้าที่,2,FALSE)</f>
        <v>นักวิชาการพัฒนาฝีมือแรงงาน</v>
      </c>
      <c r="U2" t="str">
        <f ca="1">VLOOKUP($A$2,รายการฝึก,14,FALSE)</f>
        <v>นายพงพล คงสุข</v>
      </c>
      <c r="V2" t="str">
        <f ca="1">VLOOKUP(U2,เจ้าหน้าที่,2,FALSE)</f>
        <v>ครูฝึกฝีมือแรงงานเทคนิค</v>
      </c>
      <c r="W2">
        <f ca="1">VLOOKUP($A$2,รายการฝึก,15,FALSE)</f>
        <v>0</v>
      </c>
      <c r="X2" t="e">
        <f ca="1">VLOOKUP(W2,เจ้าหน้าที่,2,FALSE)</f>
        <v>#N/A</v>
      </c>
      <c r="Y2">
        <f ca="1">VLOOKUP($A$2,รายการฝึก,16,FALSE)</f>
        <v>600</v>
      </c>
      <c r="Z2">
        <f ca="1">VLOOKUP($A$2,รายการฝึก,17,FALSE)</f>
        <v>500</v>
      </c>
      <c r="AA2">
        <f ca="1">VLOOKUP($A$2,รายการฝึก,18,FALSE)</f>
        <v>120</v>
      </c>
      <c r="AB2">
        <f ca="1">VLOOKUP($A$2,รายการฝึก,19,FALSE)</f>
        <v>0</v>
      </c>
      <c r="AC2">
        <f ca="1">VLOOKUP($A$2,รายการฝึก,20,FALSE)</f>
        <v>4</v>
      </c>
      <c r="AD2">
        <f ca="1">VLOOKUP($A$2,รายการฝึก,21,FALSE)</f>
        <v>0</v>
      </c>
      <c r="AE2">
        <f ca="1">Y2*H2</f>
        <v>18000</v>
      </c>
      <c r="AF2" t="str">
        <f ca="1">BAHTTEXT(AE2)</f>
        <v>หนึ่งหมื่นแปดพันบาทถ้วน</v>
      </c>
      <c r="AG2">
        <f ca="1">Z2*M2</f>
        <v>12000</v>
      </c>
      <c r="AH2" t="str">
        <f ca="1">BAHTTEXT(AG2)</f>
        <v>หนึ่งหมื่นสองพันบาทถ้วน</v>
      </c>
      <c r="AI2">
        <f ca="1">AA2*AC2*M2</f>
        <v>11520</v>
      </c>
      <c r="AJ2">
        <f ca="1">AB2*AD2*M2</f>
        <v>0</v>
      </c>
      <c r="AK2">
        <f ca="1">SUM(AE2:AJ2)</f>
        <v>41520</v>
      </c>
      <c r="AL2" t="str">
        <f ca="1">BAHTTEXT(AK2)</f>
        <v>สี่หมื่นหนึ่งพันห้าร้อยยี่สิบบาทถ้วน</v>
      </c>
      <c r="AM2">
        <f ca="1">VLOOKUP(E2,กิจกรรมฝึก,2,FALSE)</f>
        <v>2569</v>
      </c>
      <c r="AN2" t="str">
        <f ca="1">VLOOKUP(E2,กิจกรรมฝึก,3,FALSE)</f>
        <v>งบรายจ่ายอื่น</v>
      </c>
      <c r="AO2" t="str">
        <f ca="1">VLOOKUP(E2,กิจกรรมฝึก,4,FALSE)</f>
        <v>แผนงานยุทธศาสตร์พัฒนาศักยภาพคนตลอดช่วงชีวิต</v>
      </c>
      <c r="AP2" t="str">
        <f ca="1">VLOOKUP(E2,กิจกรรมฝึก,5,FALSE)</f>
        <v>โครงการพัฒนาศักยภาพแรงงานขับเคลื่อนการเติบโตภาคเศรษฐกิจและสังคมอย่างยั่งยืน</v>
      </c>
      <c r="AQ2" t="str">
        <f ca="1">VLOOKUP(E2,กิจกรรมฝึก,6,FALSE)</f>
        <v>กิจกรรม พัฒนาบุคลากรรองรับอุตสาหกรรมโลจิสติกส์และซัพพลายเชน</v>
      </c>
      <c r="AR2" t="str">
        <f ca="1">VLOOKUP(E2,กิจกรรมฝึก,7,FALSE)</f>
        <v>ค่าใช้จ่ายในการพัฒนาบุคลากรรองรับอุตสาหกรรมโลจิสติกส์และซัพพลายเชน</v>
      </c>
      <c r="AS2">
        <f ca="1">VLOOKUP(E2,กิจกรรมฝึก,8,FALSE)</f>
        <v>0</v>
      </c>
      <c r="AT2">
        <f ca="1">VLOOKUP(E2,กิจกรรมฝึก,9,FALSE)</f>
        <v>300</v>
      </c>
      <c r="AU2" s="54">
        <f ca="1">VLOOKUP($A$2,รายการฝึก,23,FALSE)</f>
        <v>46066</v>
      </c>
      <c r="AV2">
        <f ca="1">VLOOKUP($A$2,รายการฝึก,24,FALSE)</f>
        <v>0</v>
      </c>
      <c r="AW2">
        <f ca="1">VLOOKUP($A$2,รายการฝึก,25,FALSE)</f>
        <v>0</v>
      </c>
      <c r="AX2">
        <f ca="1">VLOOKUP($A$2,รายการฝึก,26,FALSE)</f>
        <v>0</v>
      </c>
      <c r="AY2" t="e">
        <f t="shared" ref="AY2:CD2" ca="1" si="0">INDEX(รายการผู้สมัคร,AY3,4)</f>
        <v>#NUM!</v>
      </c>
      <c r="AZ2" t="e">
        <f t="shared" ca="1" si="0"/>
        <v>#NUM!</v>
      </c>
      <c r="BA2" t="e">
        <f t="shared" ca="1" si="0"/>
        <v>#NUM!</v>
      </c>
      <c r="BB2" t="e">
        <f t="shared" ca="1" si="0"/>
        <v>#NUM!</v>
      </c>
      <c r="BC2" t="e">
        <f t="shared" ca="1" si="0"/>
        <v>#NUM!</v>
      </c>
      <c r="BD2" t="e">
        <f t="shared" ca="1" si="0"/>
        <v>#NUM!</v>
      </c>
      <c r="BE2" t="e">
        <f t="shared" ca="1" si="0"/>
        <v>#NUM!</v>
      </c>
      <c r="BF2" t="e">
        <f t="shared" ca="1" si="0"/>
        <v>#NUM!</v>
      </c>
      <c r="BG2" t="e">
        <f t="shared" ca="1" si="0"/>
        <v>#NUM!</v>
      </c>
      <c r="BH2" t="e">
        <f t="shared" ca="1" si="0"/>
        <v>#NUM!</v>
      </c>
      <c r="BI2" t="e">
        <f t="shared" ca="1" si="0"/>
        <v>#NUM!</v>
      </c>
      <c r="BJ2" t="e">
        <f t="shared" ca="1" si="0"/>
        <v>#NUM!</v>
      </c>
      <c r="BK2" t="e">
        <f t="shared" ca="1" si="0"/>
        <v>#NUM!</v>
      </c>
      <c r="BL2" t="e">
        <f t="shared" ca="1" si="0"/>
        <v>#NUM!</v>
      </c>
      <c r="BM2" t="e">
        <f t="shared" ca="1" si="0"/>
        <v>#NUM!</v>
      </c>
      <c r="BN2" t="e">
        <f t="shared" ca="1" si="0"/>
        <v>#NUM!</v>
      </c>
      <c r="BO2" t="e">
        <f t="shared" ca="1" si="0"/>
        <v>#NUM!</v>
      </c>
      <c r="BP2" t="e">
        <f t="shared" ca="1" si="0"/>
        <v>#NUM!</v>
      </c>
      <c r="BQ2" t="e">
        <f t="shared" ca="1" si="0"/>
        <v>#NUM!</v>
      </c>
      <c r="BR2" t="e">
        <f t="shared" ca="1" si="0"/>
        <v>#NUM!</v>
      </c>
      <c r="BS2" t="e">
        <f t="shared" ca="1" si="0"/>
        <v>#NUM!</v>
      </c>
      <c r="BT2" t="e">
        <f t="shared" ca="1" si="0"/>
        <v>#NUM!</v>
      </c>
      <c r="BU2" t="e">
        <f t="shared" ca="1" si="0"/>
        <v>#NUM!</v>
      </c>
      <c r="BV2" t="e">
        <f t="shared" ca="1" si="0"/>
        <v>#NUM!</v>
      </c>
      <c r="BW2" t="e">
        <f t="shared" ca="1" si="0"/>
        <v>#NUM!</v>
      </c>
      <c r="BX2" t="e">
        <f t="shared" ca="1" si="0"/>
        <v>#NUM!</v>
      </c>
      <c r="BY2" t="e">
        <f t="shared" ca="1" si="0"/>
        <v>#NUM!</v>
      </c>
      <c r="BZ2" t="e">
        <f t="shared" ca="1" si="0"/>
        <v>#NUM!</v>
      </c>
      <c r="CA2" t="e">
        <f t="shared" ca="1" si="0"/>
        <v>#NUM!</v>
      </c>
      <c r="CB2" t="e">
        <f t="shared" ca="1" si="0"/>
        <v>#NUM!</v>
      </c>
      <c r="CC2" t="e">
        <f t="shared" ca="1" si="0"/>
        <v>#NUM!</v>
      </c>
      <c r="CD2" t="e">
        <f t="shared" ca="1" si="0"/>
        <v>#NUM!</v>
      </c>
      <c r="CE2" t="e">
        <f t="shared" ref="CE2:CV2" ca="1" si="1">INDEX(รายการผู้สมัคร,CE3,4)</f>
        <v>#NUM!</v>
      </c>
      <c r="CF2" t="e">
        <f t="shared" ca="1" si="1"/>
        <v>#NUM!</v>
      </c>
      <c r="CG2" t="e">
        <f t="shared" ca="1" si="1"/>
        <v>#NUM!</v>
      </c>
      <c r="CH2" t="e">
        <f t="shared" ca="1" si="1"/>
        <v>#NUM!</v>
      </c>
      <c r="CI2" t="e">
        <f t="shared" ca="1" si="1"/>
        <v>#NUM!</v>
      </c>
      <c r="CJ2" t="e">
        <f t="shared" ca="1" si="1"/>
        <v>#NUM!</v>
      </c>
      <c r="CK2" t="e">
        <f t="shared" ca="1" si="1"/>
        <v>#NUM!</v>
      </c>
      <c r="CL2" t="e">
        <f t="shared" ca="1" si="1"/>
        <v>#NUM!</v>
      </c>
      <c r="CM2" t="e">
        <f t="shared" ca="1" si="1"/>
        <v>#NUM!</v>
      </c>
      <c r="CN2" t="e">
        <f t="shared" ca="1" si="1"/>
        <v>#NUM!</v>
      </c>
      <c r="CO2" t="e">
        <f t="shared" ca="1" si="1"/>
        <v>#NUM!</v>
      </c>
      <c r="CP2" t="e">
        <f t="shared" ca="1" si="1"/>
        <v>#NUM!</v>
      </c>
      <c r="CQ2" t="e">
        <f t="shared" ca="1" si="1"/>
        <v>#NUM!</v>
      </c>
      <c r="CR2" t="e">
        <f t="shared" ca="1" si="1"/>
        <v>#NUM!</v>
      </c>
      <c r="CS2" t="e">
        <f t="shared" ca="1" si="1"/>
        <v>#NUM!</v>
      </c>
      <c r="CT2" t="e">
        <f t="shared" ca="1" si="1"/>
        <v>#NUM!</v>
      </c>
      <c r="CU2" t="e">
        <f t="shared" ca="1" si="1"/>
        <v>#NUM!</v>
      </c>
      <c r="CV2" t="e">
        <f t="shared" ca="1" si="1"/>
        <v>#NUM!</v>
      </c>
    </row>
    <row r="3" spans="1:100" x14ac:dyDescent="0.35">
      <c r="A3" s="63" t="s">
        <v>557</v>
      </c>
      <c r="B3" s="56"/>
      <c r="AY3" t="e" cm="1">
        <f t="array" aca="1" ref="AY3" ca="1">SMALL(IF(ผู้สมัครรุ่นที่ฝึก&amp;ผล=IF(ผู้สมัครรุ่นที่ฝึก=$A$2,ผู้สมัครรุ่นที่ฝึก,"")&amp;$A$3,ROW(ผล),""),AY1)</f>
        <v>#NUM!</v>
      </c>
      <c r="AZ3" t="e" cm="1">
        <f t="array" aca="1" ref="AZ3" ca="1">SMALL(IF(ผู้สมัครรุ่นที่ฝึก&amp;ผล=IF(ผู้สมัครรุ่นที่ฝึก=$A$2,ผู้สมัครรุ่นที่ฝึก,"")&amp;$A$3,ROW(ผล),""),AZ1)</f>
        <v>#NUM!</v>
      </c>
      <c r="BA3" t="e" cm="1">
        <f t="array" aca="1" ref="BA3" ca="1">SMALL(IF(ผู้สมัครรุ่นที่ฝึก&amp;ผล=IF(ผู้สมัครรุ่นที่ฝึก=$A$2,ผู้สมัครรุ่นที่ฝึก,"")&amp;$A$3,ROW(ผล),""),BA1)</f>
        <v>#NUM!</v>
      </c>
      <c r="BB3" t="e" cm="1">
        <f t="array" aca="1" ref="BB3" ca="1">SMALL(IF(ผู้สมัครรุ่นที่ฝึก&amp;ผล=IF(ผู้สมัครรุ่นที่ฝึก=$A$2,ผู้สมัครรุ่นที่ฝึก,"")&amp;$A$3,ROW(ผล),""),BB1)</f>
        <v>#NUM!</v>
      </c>
      <c r="BC3" t="e" cm="1">
        <f t="array" aca="1" ref="BC3" ca="1">SMALL(IF(ผู้สมัครรุ่นที่ฝึก&amp;ผล=IF(ผู้สมัครรุ่นที่ฝึก=$A$2,ผู้สมัครรุ่นที่ฝึก,"")&amp;$A$3,ROW(ผล),""),BC1)</f>
        <v>#NUM!</v>
      </c>
      <c r="BD3" t="e" cm="1">
        <f t="array" aca="1" ref="BD3" ca="1">SMALL(IF(ผู้สมัครรุ่นที่ฝึก&amp;ผล=IF(ผู้สมัครรุ่นที่ฝึก=$A$2,ผู้สมัครรุ่นที่ฝึก,"")&amp;$A$3,ROW(ผล),""),BD1)</f>
        <v>#NUM!</v>
      </c>
      <c r="BE3" t="e" cm="1">
        <f t="array" aca="1" ref="BE3" ca="1">SMALL(IF(ผู้สมัครรุ่นที่ฝึก&amp;ผล=IF(ผู้สมัครรุ่นที่ฝึก=$A$2,ผู้สมัครรุ่นที่ฝึก,"")&amp;$A$3,ROW(ผล),""),BE1)</f>
        <v>#NUM!</v>
      </c>
      <c r="BF3" t="e" cm="1">
        <f t="array" aca="1" ref="BF3" ca="1">SMALL(IF(ผู้สมัครรุ่นที่ฝึก&amp;ผล=IF(ผู้สมัครรุ่นที่ฝึก=$A$2,ผู้สมัครรุ่นที่ฝึก,"")&amp;$A$3,ROW(ผล),""),BF1)</f>
        <v>#NUM!</v>
      </c>
      <c r="BG3" t="e" cm="1">
        <f t="array" aca="1" ref="BG3" ca="1">SMALL(IF(ผู้สมัครรุ่นที่ฝึก&amp;ผล=IF(ผู้สมัครรุ่นที่ฝึก=$A$2,ผู้สมัครรุ่นที่ฝึก,"")&amp;$A$3,ROW(ผล),""),BG1)</f>
        <v>#NUM!</v>
      </c>
      <c r="BH3" t="e" cm="1">
        <f t="array" aca="1" ref="BH3" ca="1">SMALL(IF(ผู้สมัครรุ่นที่ฝึก&amp;ผล=IF(ผู้สมัครรุ่นที่ฝึก=$A$2,ผู้สมัครรุ่นที่ฝึก,"")&amp;$A$3,ROW(ผล),""),BH1)</f>
        <v>#NUM!</v>
      </c>
      <c r="BI3" t="e" cm="1">
        <f t="array" aca="1" ref="BI3" ca="1">SMALL(IF(ผู้สมัครรุ่นที่ฝึก&amp;ผล=IF(ผู้สมัครรุ่นที่ฝึก=$A$2,ผู้สมัครรุ่นที่ฝึก,"")&amp;$A$3,ROW(ผล),""),BI1)</f>
        <v>#NUM!</v>
      </c>
      <c r="BJ3" t="e" cm="1">
        <f t="array" aca="1" ref="BJ3" ca="1">SMALL(IF(ผู้สมัครรุ่นที่ฝึก&amp;ผล=IF(ผู้สมัครรุ่นที่ฝึก=$A$2,ผู้สมัครรุ่นที่ฝึก,"")&amp;$A$3,ROW(ผล),""),BJ1)</f>
        <v>#NUM!</v>
      </c>
      <c r="BK3" t="e" cm="1">
        <f t="array" aca="1" ref="BK3" ca="1">SMALL(IF(ผู้สมัครรุ่นที่ฝึก&amp;ผล=IF(ผู้สมัครรุ่นที่ฝึก=$A$2,ผู้สมัครรุ่นที่ฝึก,"")&amp;$A$3,ROW(ผล),""),BK1)</f>
        <v>#NUM!</v>
      </c>
      <c r="BL3" t="e" cm="1">
        <f t="array" aca="1" ref="BL3" ca="1">SMALL(IF(ผู้สมัครรุ่นที่ฝึก&amp;ผล=IF(ผู้สมัครรุ่นที่ฝึก=$A$2,ผู้สมัครรุ่นที่ฝึก,"")&amp;$A$3,ROW(ผล),""),BL1)</f>
        <v>#NUM!</v>
      </c>
      <c r="BM3" t="e" cm="1">
        <f t="array" aca="1" ref="BM3" ca="1">SMALL(IF(ผู้สมัครรุ่นที่ฝึก&amp;ผล=IF(ผู้สมัครรุ่นที่ฝึก=$A$2,ผู้สมัครรุ่นที่ฝึก,"")&amp;$A$3,ROW(ผล),""),BM1)</f>
        <v>#NUM!</v>
      </c>
      <c r="BN3" t="e" cm="1">
        <f t="array" aca="1" ref="BN3" ca="1">SMALL(IF(ผู้สมัครรุ่นที่ฝึก&amp;ผล=IF(ผู้สมัครรุ่นที่ฝึก=$A$2,ผู้สมัครรุ่นที่ฝึก,"")&amp;$A$3,ROW(ผล),""),BN1)</f>
        <v>#NUM!</v>
      </c>
      <c r="BO3" t="e" cm="1">
        <f t="array" aca="1" ref="BO3" ca="1">SMALL(IF(ผู้สมัครรุ่นที่ฝึก&amp;ผล=IF(ผู้สมัครรุ่นที่ฝึก=$A$2,ผู้สมัครรุ่นที่ฝึก,"")&amp;$A$3,ROW(ผล),""),BO1)</f>
        <v>#NUM!</v>
      </c>
      <c r="BP3" t="e" cm="1">
        <f t="array" aca="1" ref="BP3" ca="1">SMALL(IF(ผู้สมัครรุ่นที่ฝึก&amp;ผล=IF(ผู้สมัครรุ่นที่ฝึก=$A$2,ผู้สมัครรุ่นที่ฝึก,"")&amp;$A$3,ROW(ผล),""),BP1)</f>
        <v>#NUM!</v>
      </c>
      <c r="BQ3" t="e" cm="1">
        <f t="array" aca="1" ref="BQ3" ca="1">SMALL(IF(ผู้สมัครรุ่นที่ฝึก&amp;ผล=IF(ผู้สมัครรุ่นที่ฝึก=$A$2,ผู้สมัครรุ่นที่ฝึก,"")&amp;$A$3,ROW(ผล),""),BQ1)</f>
        <v>#NUM!</v>
      </c>
      <c r="BR3" t="e" cm="1">
        <f t="array" aca="1" ref="BR3" ca="1">SMALL(IF(ผู้สมัครรุ่นที่ฝึก&amp;ผล=IF(ผู้สมัครรุ่นที่ฝึก=$A$2,ผู้สมัครรุ่นที่ฝึก,"")&amp;$A$3,ROW(ผล),""),BR1)</f>
        <v>#NUM!</v>
      </c>
      <c r="BS3" t="e" cm="1">
        <f t="array" aca="1" ref="BS3" ca="1">SMALL(IF(ผู้สมัครรุ่นที่ฝึก&amp;ผล=IF(ผู้สมัครรุ่นที่ฝึก=$A$2,ผู้สมัครรุ่นที่ฝึก,"")&amp;$A$3,ROW(ผล),""),BS1)</f>
        <v>#NUM!</v>
      </c>
      <c r="BT3" t="e" cm="1">
        <f t="array" aca="1" ref="BT3" ca="1">SMALL(IF(ผู้สมัครรุ่นที่ฝึก&amp;ผล=IF(ผู้สมัครรุ่นที่ฝึก=$A$2,ผู้สมัครรุ่นที่ฝึก,"")&amp;$A$3,ROW(ผล),""),BT1)</f>
        <v>#NUM!</v>
      </c>
      <c r="BU3" t="e" cm="1">
        <f t="array" aca="1" ref="BU3" ca="1">SMALL(IF(ผู้สมัครรุ่นที่ฝึก&amp;ผล=IF(ผู้สมัครรุ่นที่ฝึก=$A$2,ผู้สมัครรุ่นที่ฝึก,"")&amp;$A$3,ROW(ผล),""),BU1)</f>
        <v>#NUM!</v>
      </c>
      <c r="BV3" t="e" cm="1">
        <f t="array" aca="1" ref="BV3" ca="1">SMALL(IF(ผู้สมัครรุ่นที่ฝึก&amp;ผล=IF(ผู้สมัครรุ่นที่ฝึก=$A$2,ผู้สมัครรุ่นที่ฝึก,"")&amp;$A$3,ROW(ผล),""),BV1)</f>
        <v>#NUM!</v>
      </c>
      <c r="BW3" t="e" cm="1">
        <f t="array" aca="1" ref="BW3" ca="1">SMALL(IF(ผู้สมัครรุ่นที่ฝึก&amp;ผล=IF(ผู้สมัครรุ่นที่ฝึก=$A$2,ผู้สมัครรุ่นที่ฝึก,"")&amp;$A$3,ROW(ผล),""),BW1)</f>
        <v>#NUM!</v>
      </c>
      <c r="BX3" t="e" cm="1">
        <f t="array" aca="1" ref="BX3" ca="1">SMALL(IF(ผู้สมัครรุ่นที่ฝึก&amp;ผล=IF(ผู้สมัครรุ่นที่ฝึก=$A$2,ผู้สมัครรุ่นที่ฝึก,"")&amp;$A$3,ROW(ผล),""),BX1)</f>
        <v>#NUM!</v>
      </c>
      <c r="BY3" t="e" cm="1">
        <f t="array" aca="1" ref="BY3" ca="1">SMALL(IF(ผู้สมัครรุ่นที่ฝึก&amp;ผล=IF(ผู้สมัครรุ่นที่ฝึก=$A$2,ผู้สมัครรุ่นที่ฝึก,"")&amp;$A$3,ROW(ผล),""),BY1)</f>
        <v>#NUM!</v>
      </c>
      <c r="BZ3" t="e" cm="1">
        <f t="array" aca="1" ref="BZ3" ca="1">SMALL(IF(ผู้สมัครรุ่นที่ฝึก&amp;ผล=IF(ผู้สมัครรุ่นที่ฝึก=$A$2,ผู้สมัครรุ่นที่ฝึก,"")&amp;$A$3,ROW(ผล),""),BZ1)</f>
        <v>#NUM!</v>
      </c>
      <c r="CA3" t="e" cm="1">
        <f t="array" aca="1" ref="CA3" ca="1">SMALL(IF(ผู้สมัครรุ่นที่ฝึก&amp;ผล=IF(ผู้สมัครรุ่นที่ฝึก=$A$2,ผู้สมัครรุ่นที่ฝึก,"")&amp;$A$3,ROW(ผล),""),CA1)</f>
        <v>#NUM!</v>
      </c>
      <c r="CB3" t="e" cm="1">
        <f t="array" aca="1" ref="CB3" ca="1">SMALL(IF(ผู้สมัครรุ่นที่ฝึก&amp;ผล=IF(ผู้สมัครรุ่นที่ฝึก=$A$2,ผู้สมัครรุ่นที่ฝึก,"")&amp;$A$3,ROW(ผล),""),CB1)</f>
        <v>#NUM!</v>
      </c>
      <c r="CC3" t="e" cm="1">
        <f t="array" aca="1" ref="CC3" ca="1">SMALL(IF(ผู้สมัครรุ่นที่ฝึก&amp;ผล=IF(ผู้สมัครรุ่นที่ฝึก=$A$2,ผู้สมัครรุ่นที่ฝึก,"")&amp;$A$3,ROW(ผล),""),CC1)</f>
        <v>#NUM!</v>
      </c>
      <c r="CD3" t="e" cm="1">
        <f t="array" aca="1" ref="CD3" ca="1">SMALL(IF(ผู้สมัครรุ่นที่ฝึก&amp;ผล=IF(ผู้สมัครรุ่นที่ฝึก=$A$2,ผู้สมัครรุ่นที่ฝึก,"")&amp;$A$3,ROW(ผล),""),CD1)</f>
        <v>#NUM!</v>
      </c>
      <c r="CE3" t="e" cm="1">
        <f t="array" aca="1" ref="CE3" ca="1">SMALL(IF(ผู้สมัครรุ่นที่ฝึก&amp;ผล=IF(ผู้สมัครรุ่นที่ฝึก=$A$2,ผู้สมัครรุ่นที่ฝึก,"")&amp;$A$3,ROW(ผล),""),CE1)</f>
        <v>#NUM!</v>
      </c>
      <c r="CF3" t="e" cm="1">
        <f t="array" aca="1" ref="CF3" ca="1">SMALL(IF(ผู้สมัครรุ่นที่ฝึก&amp;ผล=IF(ผู้สมัครรุ่นที่ฝึก=$A$2,ผู้สมัครรุ่นที่ฝึก,"")&amp;$A$3,ROW(ผล),""),CF1)</f>
        <v>#NUM!</v>
      </c>
      <c r="CG3" t="e" cm="1">
        <f t="array" aca="1" ref="CG3" ca="1">SMALL(IF(ผู้สมัครรุ่นที่ฝึก&amp;ผล=IF(ผู้สมัครรุ่นที่ฝึก=$A$2,ผู้สมัครรุ่นที่ฝึก,"")&amp;$A$3,ROW(ผล),""),CG1)</f>
        <v>#NUM!</v>
      </c>
      <c r="CH3" t="e" cm="1">
        <f t="array" aca="1" ref="CH3" ca="1">SMALL(IF(ผู้สมัครรุ่นที่ฝึก&amp;ผล=IF(ผู้สมัครรุ่นที่ฝึก=$A$2,ผู้สมัครรุ่นที่ฝึก,"")&amp;$A$3,ROW(ผล),""),CH1)</f>
        <v>#NUM!</v>
      </c>
      <c r="CI3" t="e" cm="1">
        <f t="array" aca="1" ref="CI3" ca="1">SMALL(IF(ผู้สมัครรุ่นที่ฝึก&amp;ผล=IF(ผู้สมัครรุ่นที่ฝึก=$A$2,ผู้สมัครรุ่นที่ฝึก,"")&amp;$A$3,ROW(ผล),""),CI1)</f>
        <v>#NUM!</v>
      </c>
      <c r="CJ3" t="e" cm="1">
        <f t="array" aca="1" ref="CJ3" ca="1">SMALL(IF(ผู้สมัครรุ่นที่ฝึก&amp;ผล=IF(ผู้สมัครรุ่นที่ฝึก=$A$2,ผู้สมัครรุ่นที่ฝึก,"")&amp;$A$3,ROW(ผล),""),CJ1)</f>
        <v>#NUM!</v>
      </c>
      <c r="CK3" t="e" cm="1">
        <f t="array" aca="1" ref="CK3" ca="1">SMALL(IF(ผู้สมัครรุ่นที่ฝึก&amp;ผล=IF(ผู้สมัครรุ่นที่ฝึก=$A$2,ผู้สมัครรุ่นที่ฝึก,"")&amp;$A$3,ROW(ผล),""),CK1)</f>
        <v>#NUM!</v>
      </c>
      <c r="CL3" t="e" cm="1">
        <f t="array" aca="1" ref="CL3" ca="1">SMALL(IF(ผู้สมัครรุ่นที่ฝึก&amp;ผล=IF(ผู้สมัครรุ่นที่ฝึก=$A$2,ผู้สมัครรุ่นที่ฝึก,"")&amp;$A$3,ROW(ผล),""),CL1)</f>
        <v>#NUM!</v>
      </c>
      <c r="CM3" t="e" cm="1">
        <f t="array" aca="1" ref="CM3" ca="1">SMALL(IF(ผู้สมัครรุ่นที่ฝึก&amp;ผล=IF(ผู้สมัครรุ่นที่ฝึก=$A$2,ผู้สมัครรุ่นที่ฝึก,"")&amp;$A$3,ROW(ผล),""),CM1)</f>
        <v>#NUM!</v>
      </c>
      <c r="CN3" t="e" cm="1">
        <f t="array" aca="1" ref="CN3" ca="1">SMALL(IF(ผู้สมัครรุ่นที่ฝึก&amp;ผล=IF(ผู้สมัครรุ่นที่ฝึก=$A$2,ผู้สมัครรุ่นที่ฝึก,"")&amp;$A$3,ROW(ผล),""),CN1)</f>
        <v>#NUM!</v>
      </c>
      <c r="CO3" t="e" cm="1">
        <f t="array" aca="1" ref="CO3" ca="1">SMALL(IF(ผู้สมัครรุ่นที่ฝึก&amp;ผล=IF(ผู้สมัครรุ่นที่ฝึก=$A$2,ผู้สมัครรุ่นที่ฝึก,"")&amp;$A$3,ROW(ผล),""),CO1)</f>
        <v>#NUM!</v>
      </c>
      <c r="CP3" t="e" cm="1">
        <f t="array" aca="1" ref="CP3" ca="1">SMALL(IF(ผู้สมัครรุ่นที่ฝึก&amp;ผล=IF(ผู้สมัครรุ่นที่ฝึก=$A$2,ผู้สมัครรุ่นที่ฝึก,"")&amp;$A$3,ROW(ผล),""),CP1)</f>
        <v>#NUM!</v>
      </c>
      <c r="CQ3" t="e" cm="1">
        <f t="array" aca="1" ref="CQ3" ca="1">SMALL(IF(ผู้สมัครรุ่นที่ฝึก&amp;ผล=IF(ผู้สมัครรุ่นที่ฝึก=$A$2,ผู้สมัครรุ่นที่ฝึก,"")&amp;$A$3,ROW(ผล),""),CQ1)</f>
        <v>#NUM!</v>
      </c>
      <c r="CR3" t="e" cm="1">
        <f t="array" aca="1" ref="CR3" ca="1">SMALL(IF(ผู้สมัครรุ่นที่ฝึก&amp;ผล=IF(ผู้สมัครรุ่นที่ฝึก=$A$2,ผู้สมัครรุ่นที่ฝึก,"")&amp;$A$3,ROW(ผล),""),CR1)</f>
        <v>#NUM!</v>
      </c>
      <c r="CS3" t="e" cm="1">
        <f t="array" aca="1" ref="CS3" ca="1">SMALL(IF(ผู้สมัครรุ่นที่ฝึก&amp;ผล=IF(ผู้สมัครรุ่นที่ฝึก=$A$2,ผู้สมัครรุ่นที่ฝึก,"")&amp;$A$3,ROW(ผล),""),CS1)</f>
        <v>#NUM!</v>
      </c>
      <c r="CT3" t="e" cm="1">
        <f t="array" aca="1" ref="CT3" ca="1">SMALL(IF(ผู้สมัครรุ่นที่ฝึก&amp;ผล=IF(ผู้สมัครรุ่นที่ฝึก=$A$2,ผู้สมัครรุ่นที่ฝึก,"")&amp;$A$3,ROW(ผล),""),CT1)</f>
        <v>#NUM!</v>
      </c>
      <c r="CU3" t="e" cm="1">
        <f t="array" aca="1" ref="CU3" ca="1">SMALL(IF(ผู้สมัครรุ่นที่ฝึก&amp;ผล=IF(ผู้สมัครรุ่นที่ฝึก=$A$2,ผู้สมัครรุ่นที่ฝึก,"")&amp;$A$3,ROW(ผล),""),CU1)</f>
        <v>#NUM!</v>
      </c>
      <c r="CV3" t="e" cm="1">
        <f t="array" aca="1" ref="CV3" ca="1">SMALL(IF(ผู้สมัครรุ่นที่ฝึก&amp;ผล=IF(ผู้สมัครรุ่นที่ฝึก=$A$2,ผู้สมัครรุ่นที่ฝึก,"")&amp;$A$3,ROW(ผล),""),CV1)</f>
        <v>#NUM!</v>
      </c>
    </row>
    <row r="4" spans="1:100" x14ac:dyDescent="0.35">
      <c r="B4" s="56"/>
    </row>
    <row r="5" spans="1:100" x14ac:dyDescent="0.35">
      <c r="B5"/>
    </row>
    <row r="6" spans="1:100" x14ac:dyDescent="0.35">
      <c r="B6" s="56"/>
    </row>
    <row r="7" spans="1:100" x14ac:dyDescent="0.35">
      <c r="B7"/>
    </row>
    <row r="8" spans="1:100" x14ac:dyDescent="0.35">
      <c r="B8"/>
    </row>
    <row r="9" spans="1:100" x14ac:dyDescent="0.35">
      <c r="B9"/>
    </row>
    <row r="10" spans="1:100" x14ac:dyDescent="0.35">
      <c r="B10"/>
    </row>
    <row r="11" spans="1:100" x14ac:dyDescent="0.35">
      <c r="B11"/>
    </row>
    <row r="12" spans="1:100" x14ac:dyDescent="0.35">
      <c r="B12"/>
    </row>
    <row r="13" spans="1:100" x14ac:dyDescent="0.35">
      <c r="B13"/>
    </row>
    <row r="14" spans="1:100" x14ac:dyDescent="0.35">
      <c r="B14"/>
    </row>
    <row r="15" spans="1:100" x14ac:dyDescent="0.35">
      <c r="B15"/>
    </row>
    <row r="16" spans="1:100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</sheetData>
  <dataValidations count="2">
    <dataValidation type="list" allowBlank="1" showInputMessage="1" showErrorMessage="1" sqref="A2" xr:uid="{E94422C3-29E1-43D4-909A-40AFA957AA45}">
      <formula1>รุ่นที่ฝึก</formula1>
    </dataValidation>
    <dataValidation type="list" allowBlank="1" showInputMessage="1" showErrorMessage="1" sqref="A3" xr:uid="{52D6D437-3C29-490E-8E22-C653DF50AE74}">
      <formula1>"ผ่าน,ไม่ผ่าน"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C59B-0A10-40A0-BFE2-DAC62736DA77}">
  <dimension ref="A1:AM3"/>
  <sheetViews>
    <sheetView workbookViewId="0">
      <selection activeCell="B3" sqref="B3"/>
    </sheetView>
  </sheetViews>
  <sheetFormatPr defaultRowHeight="21" x14ac:dyDescent="0.35"/>
  <cols>
    <col min="1" max="1" width="4.75" customWidth="1"/>
    <col min="2" max="2" width="8.75" style="10"/>
    <col min="3" max="3" width="10.875" style="59" customWidth="1"/>
    <col min="4" max="4" width="10.375" customWidth="1"/>
    <col min="5" max="5" width="10.5" customWidth="1"/>
    <col min="6" max="6" width="8.75" style="10"/>
    <col min="7" max="7" width="10.125" customWidth="1"/>
    <col min="8" max="8" width="10.875" customWidth="1"/>
    <col min="13" max="13" width="8.875" bestFit="1" customWidth="1"/>
    <col min="30" max="30" width="10.75" customWidth="1"/>
    <col min="31" max="31" width="10.75" style="54" customWidth="1"/>
    <col min="32" max="32" width="10.375" customWidth="1"/>
  </cols>
  <sheetData>
    <row r="1" spans="1:39" x14ac:dyDescent="0.35">
      <c r="A1" t="s">
        <v>5</v>
      </c>
      <c r="B1" s="10" t="s">
        <v>531</v>
      </c>
      <c r="C1" s="10" t="s">
        <v>542</v>
      </c>
      <c r="D1" t="s">
        <v>532</v>
      </c>
      <c r="E1" t="s">
        <v>533</v>
      </c>
      <c r="F1" s="10" t="s">
        <v>519</v>
      </c>
      <c r="G1" t="s">
        <v>478</v>
      </c>
      <c r="H1" t="s">
        <v>3</v>
      </c>
      <c r="I1" t="s">
        <v>448</v>
      </c>
      <c r="J1" t="s">
        <v>441</v>
      </c>
      <c r="K1" t="s">
        <v>502</v>
      </c>
      <c r="L1" t="s">
        <v>477</v>
      </c>
      <c r="M1" t="s">
        <v>454</v>
      </c>
      <c r="N1" t="s">
        <v>445</v>
      </c>
      <c r="O1" t="s">
        <v>455</v>
      </c>
      <c r="P1" t="s">
        <v>457</v>
      </c>
      <c r="Q1" t="s">
        <v>511</v>
      </c>
      <c r="R1" t="s">
        <v>512</v>
      </c>
      <c r="S1" t="s">
        <v>515</v>
      </c>
      <c r="T1" t="s">
        <v>516</v>
      </c>
      <c r="U1" t="s">
        <v>517</v>
      </c>
      <c r="V1" t="s">
        <v>518</v>
      </c>
      <c r="W1" t="s">
        <v>493</v>
      </c>
      <c r="X1" t="s">
        <v>8</v>
      </c>
      <c r="Y1" t="s">
        <v>1</v>
      </c>
      <c r="Z1" t="s">
        <v>2</v>
      </c>
      <c r="AA1" t="s">
        <v>3</v>
      </c>
      <c r="AB1" t="s">
        <v>4</v>
      </c>
      <c r="AC1" s="58" t="s">
        <v>608</v>
      </c>
      <c r="AD1" t="s">
        <v>537</v>
      </c>
      <c r="AE1" s="54" t="s">
        <v>618</v>
      </c>
      <c r="AF1" t="s">
        <v>615</v>
      </c>
      <c r="AG1" t="s">
        <v>616</v>
      </c>
      <c r="AH1" t="s">
        <v>619</v>
      </c>
      <c r="AI1" t="s">
        <v>620</v>
      </c>
      <c r="AJ1" t="s">
        <v>621</v>
      </c>
      <c r="AK1" t="s">
        <v>622</v>
      </c>
      <c r="AL1" t="s">
        <v>623</v>
      </c>
      <c r="AM1" t="s">
        <v>624</v>
      </c>
    </row>
    <row r="2" spans="1:39" x14ac:dyDescent="0.35">
      <c r="A2">
        <v>1</v>
      </c>
      <c r="B2" s="10">
        <f>รายการยืมเงิน!F1</f>
        <v>69013</v>
      </c>
      <c r="C2" s="59">
        <f>VLOOKUP(B2,รายการยืมเงิน,2,FALSE)</f>
        <v>46052</v>
      </c>
      <c r="D2" t="str">
        <f>VLOOKUP(B2,รายการยืมเงิน,4,FALSE)</f>
        <v>นายพงพล คงสุข</v>
      </c>
      <c r="E2" t="str">
        <f>VLOOKUP(D2,เจ้าหน้าที่,2,FALSE)</f>
        <v>ครูฝึกฝีมือแรงงานเทคนิค</v>
      </c>
      <c r="F2" s="10">
        <f ca="1">VLOOKUP($B$2,รายการฝึก,3,FALSE)</f>
        <v>82</v>
      </c>
      <c r="G2" s="54">
        <f ca="1">VLOOKUP($B$2,รายการฝึก,2,FALSE)</f>
        <v>46051</v>
      </c>
      <c r="H2" t="str">
        <f ca="1">VLOOKUP($B$2,รายการฝึก,4,FALSE)</f>
        <v>โลจิสติกส์</v>
      </c>
      <c r="I2" t="str">
        <f ca="1">VLOOKUP($B$2,รายการฝึก,5,FALSE)</f>
        <v>พนักงานขับรถฟอร์กลิฟต์ไม่เกิน 10 ตัน</v>
      </c>
      <c r="J2">
        <f ca="1">VLOOKUP(I2,หลักสูตร,3,FALSE)</f>
        <v>30</v>
      </c>
      <c r="K2" t="str">
        <f ca="1">VLOOKUP(I2,หลักสูตร,4,FALSE)</f>
        <v xml:space="preserve">ยกระดับฝีมือ </v>
      </c>
      <c r="L2" t="str">
        <f ca="1">VLOOKUP($B$2,รายการฝึก,6,FALSE)</f>
        <v>9 - 12 กุมภาพันธ์ 2569</v>
      </c>
      <c r="M2">
        <f>VLOOKUP($B$2,รายการยืมเงิน,7,FALSE)</f>
        <v>24</v>
      </c>
      <c r="N2" t="str">
        <f ca="1">VLOOKUP($B$2,รายการฝึก,10,FALSE)</f>
        <v>สถาบันพัฒนาฝีมือแรงงาน 3 ชลบุรี</v>
      </c>
      <c r="O2">
        <f ca="1">VLOOKUP($B$2,รายการฝึก,18,FALSE)</f>
        <v>120</v>
      </c>
      <c r="P2">
        <f ca="1">VLOOKUP($B$2,รายการฝึก,19,FALSE)</f>
        <v>0</v>
      </c>
      <c r="Q2">
        <f ca="1">VLOOKUP($B$2,รายการฝึก,20,FALSE)</f>
        <v>4</v>
      </c>
      <c r="R2">
        <f ca="1">VLOOKUP($B$2,รายการฝึก,21,FALSE)</f>
        <v>0</v>
      </c>
      <c r="S2">
        <f ca="1">O2*Q2*M2</f>
        <v>11520</v>
      </c>
      <c r="T2">
        <f ca="1">P2*R2*M2</f>
        <v>0</v>
      </c>
      <c r="U2">
        <f ca="1">SUM(S2:T2)</f>
        <v>11520</v>
      </c>
      <c r="V2" t="str">
        <f ca="1">BAHTTEXT(U2)</f>
        <v>หนึ่งหมื่นหนึ่งพันห้าร้อยยี่สิบบาทถ้วน</v>
      </c>
      <c r="W2">
        <f ca="1">VLOOKUP(H2,กิจกรรมฝึก,2,FALSE)</f>
        <v>2569</v>
      </c>
      <c r="X2" t="str">
        <f ca="1">VLOOKUP(H2,กิจกรรมฝึก,3,FALSE)</f>
        <v>งบรายจ่ายอื่น</v>
      </c>
      <c r="Y2" t="str">
        <f ca="1">VLOOKUP(H2,กิจกรรมฝึก,4,FALSE)</f>
        <v>แผนงานยุทธศาสตร์พัฒนาศักยภาพคนตลอดช่วงชีวิต</v>
      </c>
      <c r="Z2" t="str">
        <f ca="1">VLOOKUP(H2,กิจกรรมฝึก,5,FALSE)</f>
        <v>โครงการพัฒนาศักยภาพแรงงานขับเคลื่อนการเติบโตภาคเศรษฐกิจและสังคมอย่างยั่งยืน</v>
      </c>
      <c r="AA2" t="str">
        <f ca="1">VLOOKUP(H2,กิจกรรมฝึก,6,FALSE)</f>
        <v>กิจกรรม พัฒนาบุคลากรรองรับอุตสาหกรรมโลจิสติกส์และซัพพลายเชน</v>
      </c>
      <c r="AB2" t="str">
        <f ca="1">VLOOKUP(H2,กิจกรรมฝึก,7,FALSE)</f>
        <v>ค่าใช้จ่ายในการพัฒนาบุคลากรรองรับอุตสาหกรรมโลจิสติกส์และซัพพลายเชน</v>
      </c>
      <c r="AC2">
        <f>VLOOKUP($B$2,รายการยืมเงิน,3,FALSE)</f>
        <v>0</v>
      </c>
      <c r="AD2">
        <f>VLOOKUP($B$2,รายการยืมเงิน,5,FALSE)</f>
        <v>0</v>
      </c>
      <c r="AE2" s="54">
        <f>VLOOKUP($B$2,รายการยืมเงิน,8,FALSE)</f>
        <v>0</v>
      </c>
      <c r="AF2">
        <f>VLOOKUP($B$2,รายการยืมเงิน,9,FALSE)</f>
        <v>0</v>
      </c>
      <c r="AG2">
        <f>VLOOKUP($B$2,รายการยืมเงิน,10,FALSE)</f>
        <v>0</v>
      </c>
      <c r="AH2">
        <f ca="1">(O2*AF2)+(O2*AG2*(Q2-1))</f>
        <v>0</v>
      </c>
      <c r="AI2">
        <f ca="1">(P2*AF2*2)+(P2*AG2*(R2-2))</f>
        <v>0</v>
      </c>
      <c r="AJ2">
        <f ca="1">SUM(AH2:AI2)</f>
        <v>0</v>
      </c>
      <c r="AK2" t="str">
        <f ca="1">BAHTTEXT(AJ2)</f>
        <v>ศูนย์บาทถ้วน</v>
      </c>
      <c r="AL2">
        <f ca="1">U2-AJ2</f>
        <v>11520</v>
      </c>
      <c r="AM2" t="str">
        <f ca="1">BAHTTEXT(AL2)</f>
        <v>หนึ่งหมื่นหนึ่งพันห้าร้อยยี่สิบบาทถ้วน</v>
      </c>
    </row>
    <row r="3" spans="1:39" x14ac:dyDescent="0.35">
      <c r="A3">
        <v>2</v>
      </c>
    </row>
  </sheetData>
  <phoneticPr fontId="3" type="noConversion"/>
  <dataValidations count="2">
    <dataValidation type="list" allowBlank="1" showInputMessage="1" showErrorMessage="1" sqref="B2" xr:uid="{DC13510B-F0BB-40C0-9E55-B93E36688DD4}">
      <formula1>รุ่นที่ฝึก</formula1>
    </dataValidation>
    <dataValidation type="list" allowBlank="1" showInputMessage="1" showErrorMessage="1" sqref="D2" xr:uid="{309E0443-0CC7-4E77-91D0-DE38C9C0FC05}">
      <formula1>ชื่อเจ้าหน้าที่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AA01-6254-4089-9734-623F3BE63881}">
  <dimension ref="A1:K31"/>
  <sheetViews>
    <sheetView topLeftCell="A7" workbookViewId="0">
      <selection activeCell="K9" sqref="K9"/>
    </sheetView>
  </sheetViews>
  <sheetFormatPr defaultColWidth="9" defaultRowHeight="21" x14ac:dyDescent="0.35"/>
  <cols>
    <col min="1" max="1" width="7.625" style="15" customWidth="1"/>
    <col min="2" max="2" width="7" style="15" customWidth="1"/>
    <col min="3" max="4" width="10.375" style="15" customWidth="1"/>
    <col min="5" max="6" width="11.625" style="15" customWidth="1"/>
    <col min="7" max="7" width="8.375" style="15" customWidth="1"/>
    <col min="8" max="8" width="12.875" style="15" customWidth="1"/>
    <col min="9" max="9" width="4.375" style="15" customWidth="1"/>
    <col min="10" max="10" width="9" style="15"/>
    <col min="11" max="11" width="12.125" style="15" customWidth="1"/>
    <col min="12" max="16384" width="9" style="15"/>
  </cols>
  <sheetData>
    <row r="1" spans="1:11" ht="13.5" customHeight="1" x14ac:dyDescent="0.35">
      <c r="A1" s="12"/>
      <c r="B1" s="13"/>
      <c r="C1" s="13"/>
      <c r="D1" s="13"/>
      <c r="E1" s="13"/>
      <c r="F1" s="13"/>
      <c r="G1" s="13"/>
      <c r="H1" s="13"/>
      <c r="I1" s="14"/>
    </row>
    <row r="2" spans="1:11" ht="23.25" x14ac:dyDescent="0.35">
      <c r="A2" s="79" t="s">
        <v>459</v>
      </c>
      <c r="B2" s="80"/>
      <c r="C2" s="80"/>
      <c r="D2" s="80"/>
      <c r="E2" s="80"/>
      <c r="F2" s="80"/>
      <c r="G2" s="80"/>
      <c r="H2" s="80"/>
      <c r="I2" s="81"/>
    </row>
    <row r="3" spans="1:11" ht="23.25" x14ac:dyDescent="0.35">
      <c r="A3" s="79" t="s">
        <v>460</v>
      </c>
      <c r="B3" s="80"/>
      <c r="C3" s="80"/>
      <c r="D3" s="80"/>
      <c r="E3" s="80"/>
      <c r="F3" s="80"/>
      <c r="G3" s="80"/>
      <c r="H3" s="80"/>
      <c r="I3" s="81"/>
    </row>
    <row r="4" spans="1:11" ht="23.25" x14ac:dyDescent="0.35">
      <c r="A4" s="18" t="s">
        <v>461</v>
      </c>
      <c r="B4" s="16"/>
      <c r="C4" s="16"/>
      <c r="D4" s="15" t="s">
        <v>462</v>
      </c>
      <c r="E4" s="16"/>
      <c r="F4" s="16"/>
      <c r="G4" s="16"/>
      <c r="H4" s="16"/>
      <c r="I4" s="17"/>
    </row>
    <row r="5" spans="1:11" x14ac:dyDescent="0.35">
      <c r="A5" s="19" t="s">
        <v>2</v>
      </c>
      <c r="B5" s="82" t="str">
        <f ca="1">VLOOKUP(K10,กิจกรรมฝึก,5,FALSE)</f>
        <v>โครงการเพิ่มทักษะแรงงานอิสระและกลุ่มเป้าหมายเฉพาะเพื่อเพิ่มโอกาสในการประกอบอาชีพ</v>
      </c>
      <c r="C5" s="82"/>
      <c r="D5" s="82"/>
      <c r="E5" s="82"/>
      <c r="F5" s="82"/>
      <c r="G5" s="82"/>
      <c r="H5" s="82"/>
      <c r="I5" s="83"/>
    </row>
    <row r="6" spans="1:11" ht="7.5" customHeight="1" x14ac:dyDescent="0.35">
      <c r="A6" s="84"/>
      <c r="B6" s="85"/>
      <c r="C6" s="85"/>
      <c r="D6" s="85"/>
      <c r="E6" s="85"/>
      <c r="F6" s="85"/>
      <c r="G6" s="85"/>
      <c r="H6" s="85"/>
      <c r="I6" s="86"/>
    </row>
    <row r="7" spans="1:11" x14ac:dyDescent="0.35">
      <c r="A7" s="22"/>
      <c r="E7" s="87">
        <f ca="1">VLOOKUP(K9,รายการฝึก,23,FALSE)</f>
        <v>46013</v>
      </c>
      <c r="F7" s="87"/>
      <c r="G7" s="87"/>
      <c r="H7" s="87"/>
      <c r="I7" s="23"/>
    </row>
    <row r="8" spans="1:11" x14ac:dyDescent="0.35">
      <c r="A8" s="20"/>
      <c r="B8" s="15" t="s">
        <v>463</v>
      </c>
      <c r="C8" s="78" t="str">
        <f ca="1">VLOOKUP(K9,รายการฝึก,11,FALSE)</f>
        <v>นายชวัลวิชญ์ วงค์เมทา</v>
      </c>
      <c r="D8" s="78"/>
      <c r="E8" s="15" t="s">
        <v>464</v>
      </c>
      <c r="F8" s="24" t="str">
        <f ca="1">VLOOKUP(C8,วิทยากร,3,FALSE)</f>
        <v>42/43</v>
      </c>
      <c r="G8" s="25" t="s">
        <v>14</v>
      </c>
      <c r="H8" s="26" t="str">
        <f ca="1">VLOOKUP(C8,วิทยากร,4,FALSE)</f>
        <v>ซอยนิมิตใหม่ 40</v>
      </c>
      <c r="I8" s="23"/>
      <c r="K8" s="25" t="s">
        <v>465</v>
      </c>
    </row>
    <row r="9" spans="1:11" x14ac:dyDescent="0.35">
      <c r="A9" s="27" t="s">
        <v>16</v>
      </c>
      <c r="B9" s="15" t="str">
        <f ca="1">VLOOKUP(C8,วิทยากร,6,FALSE)</f>
        <v>สามวาตะวันออก</v>
      </c>
      <c r="D9" s="25" t="s">
        <v>17</v>
      </c>
      <c r="E9" s="15" t="str">
        <f ca="1">VLOOKUP(C8,วิทยากร,7,FALSE)</f>
        <v>คลองสามวา</v>
      </c>
      <c r="G9" s="25" t="s">
        <v>18</v>
      </c>
      <c r="H9" s="15" t="str">
        <f ca="1">VLOOKUP(C8,วิทยากร,8,FALSE)</f>
        <v>กรุงเทพฯ</v>
      </c>
      <c r="I9" s="23"/>
      <c r="K9" s="64">
        <v>69008</v>
      </c>
    </row>
    <row r="10" spans="1:11" x14ac:dyDescent="0.35">
      <c r="A10" s="89" t="s">
        <v>466</v>
      </c>
      <c r="B10" s="90"/>
      <c r="C10" s="90"/>
      <c r="D10" s="90"/>
      <c r="E10" s="90"/>
      <c r="F10" s="90"/>
      <c r="G10" s="90"/>
      <c r="H10" s="90"/>
      <c r="I10" s="91"/>
      <c r="K10" s="15" t="str">
        <f ca="1">VLOOKUP(K9,รายการฝึก,4,FALSE)</f>
        <v>Gig worker</v>
      </c>
    </row>
    <row r="11" spans="1:11" ht="11.25" customHeight="1" x14ac:dyDescent="0.35">
      <c r="A11" s="29"/>
      <c r="B11" s="30"/>
      <c r="C11" s="30"/>
      <c r="D11" s="30"/>
      <c r="E11" s="30"/>
      <c r="F11" s="30"/>
      <c r="G11" s="30"/>
      <c r="H11" s="30"/>
      <c r="I11" s="31"/>
    </row>
    <row r="12" spans="1:11" x14ac:dyDescent="0.35">
      <c r="A12" s="92" t="s">
        <v>467</v>
      </c>
      <c r="B12" s="92"/>
      <c r="C12" s="92"/>
      <c r="D12" s="92"/>
      <c r="E12" s="92"/>
      <c r="F12" s="92"/>
      <c r="G12" s="92"/>
      <c r="H12" s="92" t="s">
        <v>468</v>
      </c>
      <c r="I12" s="92"/>
    </row>
    <row r="13" spans="1:11" x14ac:dyDescent="0.35">
      <c r="A13" s="32" t="s">
        <v>469</v>
      </c>
      <c r="B13" s="13"/>
      <c r="C13" s="13"/>
      <c r="D13" s="13"/>
      <c r="E13" s="13"/>
      <c r="F13" s="13"/>
      <c r="G13" s="14"/>
      <c r="H13" s="33">
        <f ca="1">VLOOKUP(K9,รายการฝึก,16,FALSE)*VLOOKUP(B15,หลักสูตร,3,FALSE)</f>
        <v>18000</v>
      </c>
      <c r="I13" s="14" t="s">
        <v>470</v>
      </c>
    </row>
    <row r="14" spans="1:11" x14ac:dyDescent="0.35">
      <c r="A14" s="93" t="str">
        <f ca="1">VLOOKUP(K10,กิจกรรมฝึก,5,FALSE)</f>
        <v>โครงการเพิ่มทักษะแรงงานอิสระและกลุ่มเป้าหมายเฉพาะเพื่อเพิ่มโอกาสในการประกอบอาชีพ</v>
      </c>
      <c r="B14" s="94"/>
      <c r="C14" s="94"/>
      <c r="D14" s="94"/>
      <c r="E14" s="94"/>
      <c r="F14" s="94"/>
      <c r="G14" s="95"/>
      <c r="H14" s="34"/>
      <c r="I14" s="23"/>
      <c r="J14" s="35"/>
    </row>
    <row r="15" spans="1:11" ht="24" customHeight="1" x14ac:dyDescent="0.35">
      <c r="A15" s="28" t="s">
        <v>500</v>
      </c>
      <c r="B15" s="52" t="str">
        <f ca="1">VLOOKUP(K9,รายการฝึก,5,FALSE)</f>
        <v>ช่างอเนกประสงค์</v>
      </c>
      <c r="C15" s="36"/>
      <c r="D15" s="36"/>
      <c r="E15" s="36"/>
      <c r="F15" s="36"/>
      <c r="G15" s="37"/>
      <c r="H15" s="34"/>
      <c r="I15" s="23"/>
    </row>
    <row r="16" spans="1:11" x14ac:dyDescent="0.35">
      <c r="A16" s="38" t="str">
        <f ca="1">"วันที่ "&amp;VLOOKUP(K9,รายการฝึก,6,FALSE)</f>
        <v>วันที่ 15 - 19 ธันวาคม 2568</v>
      </c>
      <c r="B16" s="39"/>
      <c r="C16" s="39"/>
      <c r="D16" s="39"/>
      <c r="E16" s="39"/>
      <c r="F16" s="39"/>
      <c r="G16" s="40"/>
      <c r="H16" s="34"/>
      <c r="I16" s="23"/>
    </row>
    <row r="17" spans="1:9" x14ac:dyDescent="0.35">
      <c r="A17" s="38" t="str">
        <f ca="1">"เวลา "&amp;VLOOKUP(K9,รายการฝึก,7,FALSE)&amp;" รวม "&amp;VLOOKUP(B15,หลักสูตร,3,FALSE)&amp;" ชั่วโมง"</f>
        <v>เวลา 09.00 - 16.00 น.  รวม 30 ชั่วโมง</v>
      </c>
      <c r="B17" s="39"/>
      <c r="C17" s="39"/>
      <c r="D17" s="39"/>
      <c r="E17" s="39"/>
      <c r="F17" s="39"/>
      <c r="G17" s="39"/>
      <c r="H17" s="34"/>
      <c r="I17" s="23"/>
    </row>
    <row r="18" spans="1:9" x14ac:dyDescent="0.35">
      <c r="A18" s="96" t="str">
        <f ca="1">"ณ "&amp;VLOOKUP(K9,รายการฝึก,10,FALSE)</f>
        <v>ณ สถาบันพัฒนาฝีมือแรงงาน 3 ชลบุรี</v>
      </c>
      <c r="B18" s="97"/>
      <c r="C18" s="97"/>
      <c r="D18" s="97"/>
      <c r="E18" s="97"/>
      <c r="F18" s="97"/>
      <c r="G18" s="98"/>
      <c r="H18" s="34"/>
      <c r="I18" s="23"/>
    </row>
    <row r="19" spans="1:9" x14ac:dyDescent="0.35">
      <c r="A19" s="41" t="str">
        <f ca="1">"(ชั่วโมงละ "&amp;VLOOKUP(K9,รายการฝึก,16,FALSE)&amp;" บาท x "&amp;VLOOKUP(B15,หลักสูตร,3,FALSE)&amp;" ชั่วโมง)"</f>
        <v>(ชั่วโมงละ 600 บาท x 30 ชั่วโมง)</v>
      </c>
      <c r="B19" s="42"/>
      <c r="C19" s="42"/>
      <c r="D19" s="42"/>
      <c r="E19" s="42"/>
      <c r="F19" s="42"/>
      <c r="G19" s="42"/>
      <c r="H19" s="34"/>
      <c r="I19" s="23"/>
    </row>
    <row r="20" spans="1:9" x14ac:dyDescent="0.35">
      <c r="A20" s="43"/>
      <c r="B20" s="42"/>
      <c r="C20" s="42"/>
      <c r="D20" s="42"/>
      <c r="E20" s="42"/>
      <c r="F20" s="42"/>
      <c r="G20" s="42"/>
      <c r="H20" s="34"/>
      <c r="I20" s="23"/>
    </row>
    <row r="21" spans="1:9" x14ac:dyDescent="0.35">
      <c r="A21" s="44"/>
      <c r="B21" s="45"/>
      <c r="C21" s="45"/>
      <c r="D21" s="45"/>
      <c r="E21" s="45"/>
      <c r="F21" s="45"/>
      <c r="G21" s="45"/>
      <c r="H21" s="46"/>
      <c r="I21" s="47"/>
    </row>
    <row r="22" spans="1:9" ht="21.75" thickBot="1" x14ac:dyDescent="0.4">
      <c r="A22" s="12"/>
      <c r="F22" s="48"/>
      <c r="G22" s="49" t="s">
        <v>471</v>
      </c>
      <c r="H22" s="50">
        <f ca="1">SUM(H13:H21)</f>
        <v>18000</v>
      </c>
      <c r="I22" s="51" t="s">
        <v>470</v>
      </c>
    </row>
    <row r="23" spans="1:9" ht="21.75" thickTop="1" x14ac:dyDescent="0.35">
      <c r="A23" s="22"/>
      <c r="I23" s="23"/>
    </row>
    <row r="24" spans="1:9" x14ac:dyDescent="0.35">
      <c r="A24" s="22"/>
      <c r="D24" s="49" t="s">
        <v>468</v>
      </c>
      <c r="E24" s="48" t="str">
        <f ca="1">"-- "&amp;BAHTTEXT(H22)&amp;" --"</f>
        <v>-- หนึ่งหมื่นแปดพันบาทถ้วน --</v>
      </c>
      <c r="F24" s="48"/>
      <c r="G24" s="48"/>
      <c r="H24" s="48"/>
      <c r="I24" s="23"/>
    </row>
    <row r="25" spans="1:9" x14ac:dyDescent="0.35">
      <c r="A25" s="22"/>
      <c r="I25" s="23"/>
    </row>
    <row r="26" spans="1:9" x14ac:dyDescent="0.35">
      <c r="A26" s="22"/>
      <c r="D26" s="21" t="s">
        <v>472</v>
      </c>
      <c r="G26" s="52" t="s">
        <v>473</v>
      </c>
      <c r="I26" s="23"/>
    </row>
    <row r="27" spans="1:9" x14ac:dyDescent="0.35">
      <c r="A27" s="22"/>
      <c r="E27" s="88" t="str">
        <f ca="1">"("&amp;VLOOKUP(K9,รายการฝึก,11,FALSE)&amp;")"</f>
        <v>(นายชวัลวิชญ์ วงค์เมทา)</v>
      </c>
      <c r="F27" s="88"/>
      <c r="I27" s="23"/>
    </row>
    <row r="28" spans="1:9" x14ac:dyDescent="0.35">
      <c r="A28" s="22"/>
      <c r="I28" s="23"/>
    </row>
    <row r="29" spans="1:9" x14ac:dyDescent="0.35">
      <c r="A29" s="22"/>
      <c r="D29" s="21" t="s">
        <v>472</v>
      </c>
      <c r="G29" s="15" t="s">
        <v>474</v>
      </c>
      <c r="I29" s="23"/>
    </row>
    <row r="30" spans="1:9" x14ac:dyDescent="0.35">
      <c r="A30" s="22"/>
      <c r="D30" s="21" t="s">
        <v>475</v>
      </c>
      <c r="E30" s="88"/>
      <c r="F30" s="88"/>
      <c r="G30" s="15" t="s">
        <v>476</v>
      </c>
      <c r="I30" s="23"/>
    </row>
    <row r="31" spans="1:9" x14ac:dyDescent="0.35">
      <c r="A31" s="44"/>
      <c r="B31" s="45"/>
      <c r="C31" s="45"/>
      <c r="D31" s="45"/>
      <c r="E31" s="45"/>
      <c r="F31" s="45"/>
      <c r="G31" s="45"/>
      <c r="H31" s="45"/>
      <c r="I31" s="47"/>
    </row>
  </sheetData>
  <mergeCells count="13">
    <mergeCell ref="E30:F30"/>
    <mergeCell ref="A10:I10"/>
    <mergeCell ref="A12:G12"/>
    <mergeCell ref="H12:I12"/>
    <mergeCell ref="A14:G14"/>
    <mergeCell ref="A18:G18"/>
    <mergeCell ref="E27:F27"/>
    <mergeCell ref="C8:D8"/>
    <mergeCell ref="A2:I2"/>
    <mergeCell ref="A3:I3"/>
    <mergeCell ref="B5:I5"/>
    <mergeCell ref="A6:I6"/>
    <mergeCell ref="E7:H7"/>
  </mergeCells>
  <dataValidations count="1">
    <dataValidation type="list" allowBlank="1" showInputMessage="1" showErrorMessage="1" sqref="K9" xr:uid="{63CB90BD-E309-44A4-9223-FD206D5C4514}">
      <formula1>รุ่นที่ฝึก</formula1>
    </dataValidation>
  </dataValidations>
  <printOptions horizontalCentered="1"/>
  <pageMargins left="0.31496062992125984" right="0.31496062992125984" top="0.74803149606299213" bottom="0.35433070866141736" header="0.31496062992125984" footer="0.31496062992125984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9DC9-AF93-4517-B261-4C2F1E860684}">
  <dimension ref="A1:R35"/>
  <sheetViews>
    <sheetView workbookViewId="0">
      <selection activeCell="C8" sqref="C8:D8"/>
    </sheetView>
  </sheetViews>
  <sheetFormatPr defaultColWidth="9" defaultRowHeight="21" x14ac:dyDescent="0.35"/>
  <cols>
    <col min="1" max="1" width="7.625" style="15" customWidth="1"/>
    <col min="2" max="2" width="7" style="15" customWidth="1"/>
    <col min="3" max="4" width="10.375" style="15" customWidth="1"/>
    <col min="5" max="6" width="11.625" style="15" customWidth="1"/>
    <col min="7" max="7" width="8.375" style="15" customWidth="1"/>
    <col min="8" max="8" width="12.875" style="15" customWidth="1"/>
    <col min="9" max="9" width="4.375" style="15" customWidth="1"/>
    <col min="10" max="16384" width="9" style="15"/>
  </cols>
  <sheetData>
    <row r="1" spans="1:18" ht="13.5" customHeight="1" x14ac:dyDescent="0.35">
      <c r="A1" s="12"/>
      <c r="B1" s="13"/>
      <c r="C1" s="13"/>
      <c r="D1" s="13"/>
      <c r="E1" s="13"/>
      <c r="F1" s="13"/>
      <c r="G1" s="13"/>
      <c r="H1" s="13"/>
      <c r="I1" s="14"/>
    </row>
    <row r="2" spans="1:18" ht="23.25" x14ac:dyDescent="0.35">
      <c r="A2" s="79" t="s">
        <v>459</v>
      </c>
      <c r="B2" s="80"/>
      <c r="C2" s="80"/>
      <c r="D2" s="80"/>
      <c r="E2" s="80"/>
      <c r="F2" s="80"/>
      <c r="G2" s="80"/>
      <c r="H2" s="80"/>
      <c r="I2" s="81"/>
    </row>
    <row r="3" spans="1:18" ht="23.25" x14ac:dyDescent="0.35">
      <c r="A3" s="79" t="s">
        <v>460</v>
      </c>
      <c r="B3" s="80"/>
      <c r="C3" s="80"/>
      <c r="D3" s="80"/>
      <c r="E3" s="80"/>
      <c r="F3" s="80"/>
      <c r="G3" s="80"/>
      <c r="H3" s="80"/>
      <c r="I3" s="81"/>
    </row>
    <row r="4" spans="1:18" ht="23.25" x14ac:dyDescent="0.35">
      <c r="A4" s="18" t="s">
        <v>461</v>
      </c>
      <c r="B4" s="16"/>
      <c r="C4" s="16"/>
      <c r="D4" s="15" t="s">
        <v>462</v>
      </c>
      <c r="E4" s="16"/>
      <c r="F4" s="16"/>
      <c r="G4" s="16"/>
      <c r="H4" s="16"/>
      <c r="I4" s="17"/>
    </row>
    <row r="5" spans="1:18" x14ac:dyDescent="0.35">
      <c r="A5" s="19" t="s">
        <v>2</v>
      </c>
      <c r="B5" s="102" t="s">
        <v>739</v>
      </c>
      <c r="C5" s="102"/>
      <c r="D5" s="102"/>
      <c r="E5" s="102"/>
      <c r="F5" s="102"/>
      <c r="G5" s="102"/>
      <c r="H5" s="102"/>
      <c r="I5" s="103"/>
    </row>
    <row r="6" spans="1:18" ht="7.5" customHeight="1" x14ac:dyDescent="0.35">
      <c r="A6" s="84"/>
      <c r="B6" s="85"/>
      <c r="C6" s="85"/>
      <c r="D6" s="85"/>
      <c r="E6" s="85"/>
      <c r="F6" s="85"/>
      <c r="G6" s="85"/>
      <c r="H6" s="85"/>
      <c r="I6" s="86"/>
    </row>
    <row r="7" spans="1:18" x14ac:dyDescent="0.35">
      <c r="A7" s="22"/>
      <c r="E7" s="87">
        <v>45785</v>
      </c>
      <c r="F7" s="87"/>
      <c r="G7" s="87"/>
      <c r="H7" s="87"/>
      <c r="I7" s="23"/>
    </row>
    <row r="8" spans="1:18" x14ac:dyDescent="0.35">
      <c r="A8" s="20"/>
      <c r="B8" s="15" t="s">
        <v>463</v>
      </c>
      <c r="C8" s="78" t="s">
        <v>767</v>
      </c>
      <c r="D8" s="78"/>
      <c r="E8" s="15" t="s">
        <v>464</v>
      </c>
      <c r="F8" s="24" t="s">
        <v>768</v>
      </c>
      <c r="G8" s="25" t="s">
        <v>14</v>
      </c>
      <c r="H8" s="26">
        <v>4</v>
      </c>
      <c r="I8" s="23"/>
      <c r="R8" s="23"/>
    </row>
    <row r="9" spans="1:18" x14ac:dyDescent="0.35">
      <c r="A9" s="27" t="s">
        <v>16</v>
      </c>
      <c r="B9" s="15" t="s">
        <v>770</v>
      </c>
      <c r="D9" s="25" t="s">
        <v>17</v>
      </c>
      <c r="E9" s="15" t="s">
        <v>258</v>
      </c>
      <c r="G9" s="25" t="s">
        <v>18</v>
      </c>
      <c r="H9" s="15" t="s">
        <v>27</v>
      </c>
      <c r="I9" s="23"/>
    </row>
    <row r="10" spans="1:18" x14ac:dyDescent="0.35">
      <c r="A10" s="89" t="s">
        <v>466</v>
      </c>
      <c r="B10" s="90"/>
      <c r="C10" s="90"/>
      <c r="D10" s="90"/>
      <c r="E10" s="90"/>
      <c r="F10" s="90"/>
      <c r="G10" s="90"/>
      <c r="H10" s="90"/>
      <c r="I10" s="91"/>
    </row>
    <row r="11" spans="1:18" ht="11.25" customHeight="1" x14ac:dyDescent="0.35">
      <c r="A11" s="29"/>
      <c r="B11" s="30"/>
      <c r="C11" s="30"/>
      <c r="D11" s="30"/>
      <c r="E11" s="30"/>
      <c r="F11" s="30"/>
      <c r="G11" s="30"/>
      <c r="H11" s="30"/>
      <c r="I11" s="31"/>
    </row>
    <row r="12" spans="1:18" x14ac:dyDescent="0.35">
      <c r="A12" s="92" t="s">
        <v>467</v>
      </c>
      <c r="B12" s="92"/>
      <c r="C12" s="92"/>
      <c r="D12" s="92"/>
      <c r="E12" s="92"/>
      <c r="F12" s="92"/>
      <c r="G12" s="92"/>
      <c r="H12" s="92" t="s">
        <v>468</v>
      </c>
      <c r="I12" s="92"/>
    </row>
    <row r="13" spans="1:18" x14ac:dyDescent="0.35">
      <c r="A13" s="32" t="s">
        <v>469</v>
      </c>
      <c r="B13" s="13"/>
      <c r="C13" s="13"/>
      <c r="D13" s="13"/>
      <c r="E13" s="13"/>
      <c r="F13" s="13"/>
      <c r="G13" s="14"/>
      <c r="H13" s="33">
        <v>7600</v>
      </c>
      <c r="I13" s="14" t="s">
        <v>470</v>
      </c>
    </row>
    <row r="14" spans="1:18" x14ac:dyDescent="0.35">
      <c r="A14" s="99" t="s">
        <v>739</v>
      </c>
      <c r="B14" s="100"/>
      <c r="C14" s="100"/>
      <c r="D14" s="100"/>
      <c r="E14" s="100"/>
      <c r="F14" s="100"/>
      <c r="G14" s="101"/>
      <c r="H14" s="34"/>
      <c r="I14" s="23"/>
      <c r="J14" s="35"/>
    </row>
    <row r="15" spans="1:18" ht="24" customHeight="1" x14ac:dyDescent="0.35">
      <c r="A15" s="28" t="s">
        <v>500</v>
      </c>
      <c r="B15" s="52" t="s">
        <v>659</v>
      </c>
      <c r="C15" s="36"/>
      <c r="D15" s="36"/>
      <c r="E15" s="36"/>
      <c r="F15" s="36"/>
      <c r="G15" s="37"/>
      <c r="H15" s="34"/>
      <c r="I15" s="23"/>
    </row>
    <row r="16" spans="1:18" x14ac:dyDescent="0.35">
      <c r="A16" s="38" t="s">
        <v>774</v>
      </c>
      <c r="B16" s="39"/>
      <c r="C16" s="39"/>
      <c r="D16" s="39"/>
      <c r="E16" s="39"/>
      <c r="F16" s="39"/>
      <c r="G16" s="40"/>
      <c r="H16" s="34"/>
      <c r="I16" s="23"/>
    </row>
    <row r="17" spans="1:9" x14ac:dyDescent="0.35">
      <c r="A17" s="38" t="s">
        <v>775</v>
      </c>
      <c r="B17" s="39"/>
      <c r="C17" s="39"/>
      <c r="D17" s="39"/>
      <c r="E17" s="39"/>
      <c r="F17" s="39"/>
      <c r="G17" s="39"/>
      <c r="H17" s="34"/>
      <c r="I17" s="23"/>
    </row>
    <row r="18" spans="1:9" x14ac:dyDescent="0.35">
      <c r="A18" s="38" t="s">
        <v>776</v>
      </c>
      <c r="B18" s="39"/>
      <c r="C18" s="39"/>
      <c r="D18" s="39"/>
      <c r="E18" s="39"/>
      <c r="F18" s="39"/>
      <c r="G18" s="39"/>
      <c r="H18" s="34"/>
      <c r="I18" s="23"/>
    </row>
    <row r="19" spans="1:9" x14ac:dyDescent="0.35">
      <c r="A19" s="38" t="s">
        <v>778</v>
      </c>
      <c r="B19" s="39"/>
      <c r="C19" s="39"/>
      <c r="D19" s="39"/>
      <c r="E19" s="39"/>
      <c r="F19" s="39"/>
      <c r="G19" s="39"/>
      <c r="H19" s="34"/>
      <c r="I19" s="23"/>
    </row>
    <row r="20" spans="1:9" x14ac:dyDescent="0.35">
      <c r="A20" s="38" t="s">
        <v>777</v>
      </c>
      <c r="B20" s="39"/>
      <c r="C20" s="39"/>
      <c r="D20" s="39"/>
      <c r="E20" s="39"/>
      <c r="F20" s="39"/>
      <c r="G20" s="39"/>
      <c r="H20" s="34"/>
      <c r="I20" s="23"/>
    </row>
    <row r="21" spans="1:9" x14ac:dyDescent="0.35">
      <c r="A21" s="38" t="s">
        <v>779</v>
      </c>
      <c r="B21" s="39"/>
      <c r="C21" s="39"/>
      <c r="D21" s="39"/>
      <c r="E21" s="39"/>
      <c r="F21" s="39"/>
      <c r="G21" s="39"/>
      <c r="H21" s="34"/>
      <c r="I21" s="23"/>
    </row>
    <row r="22" spans="1:9" x14ac:dyDescent="0.35">
      <c r="A22" s="96" t="s">
        <v>771</v>
      </c>
      <c r="B22" s="97"/>
      <c r="C22" s="97"/>
      <c r="D22" s="97"/>
      <c r="E22" s="97"/>
      <c r="F22" s="97"/>
      <c r="G22" s="98"/>
      <c r="H22" s="34"/>
      <c r="I22" s="23"/>
    </row>
    <row r="23" spans="1:9" x14ac:dyDescent="0.35">
      <c r="A23" s="41" t="s">
        <v>772</v>
      </c>
      <c r="B23" s="42"/>
      <c r="C23" s="42"/>
      <c r="D23" s="42"/>
      <c r="E23" s="42"/>
      <c r="F23" s="42"/>
      <c r="G23" s="42"/>
      <c r="H23" s="34"/>
      <c r="I23" s="23"/>
    </row>
    <row r="24" spans="1:9" x14ac:dyDescent="0.35">
      <c r="A24" s="43"/>
      <c r="B24" s="42"/>
      <c r="C24" s="42"/>
      <c r="D24" s="42"/>
      <c r="E24" s="42"/>
      <c r="F24" s="42"/>
      <c r="G24" s="42"/>
      <c r="H24" s="34"/>
      <c r="I24" s="23"/>
    </row>
    <row r="25" spans="1:9" x14ac:dyDescent="0.35">
      <c r="A25" s="44"/>
      <c r="B25" s="45"/>
      <c r="C25" s="45"/>
      <c r="D25" s="45"/>
      <c r="E25" s="45"/>
      <c r="F25" s="45"/>
      <c r="G25" s="45"/>
      <c r="H25" s="46"/>
      <c r="I25" s="47"/>
    </row>
    <row r="26" spans="1:9" ht="21.75" thickBot="1" x14ac:dyDescent="0.4">
      <c r="A26" s="12"/>
      <c r="F26" s="48"/>
      <c r="G26" s="49" t="s">
        <v>471</v>
      </c>
      <c r="H26" s="50">
        <f>SUM(H13:H25)</f>
        <v>7600</v>
      </c>
      <c r="I26" s="51" t="s">
        <v>470</v>
      </c>
    </row>
    <row r="27" spans="1:9" ht="21.75" thickTop="1" x14ac:dyDescent="0.35">
      <c r="A27" s="22"/>
      <c r="I27" s="23"/>
    </row>
    <row r="28" spans="1:9" x14ac:dyDescent="0.35">
      <c r="A28" s="22"/>
      <c r="D28" s="49" t="s">
        <v>468</v>
      </c>
      <c r="E28" s="48" t="str">
        <f>"-- "&amp;BAHTTEXT(H26)&amp;" --"</f>
        <v>-- เจ็ดพันหกร้อยบาทถ้วน --</v>
      </c>
      <c r="F28" s="48"/>
      <c r="G28" s="48"/>
      <c r="H28" s="48"/>
      <c r="I28" s="23"/>
    </row>
    <row r="29" spans="1:9" x14ac:dyDescent="0.35">
      <c r="A29" s="22"/>
      <c r="I29" s="23"/>
    </row>
    <row r="30" spans="1:9" x14ac:dyDescent="0.35">
      <c r="A30" s="22"/>
      <c r="D30" s="21" t="s">
        <v>472</v>
      </c>
      <c r="G30" s="52" t="s">
        <v>473</v>
      </c>
      <c r="I30" s="23"/>
    </row>
    <row r="31" spans="1:9" x14ac:dyDescent="0.35">
      <c r="A31" s="22"/>
      <c r="E31" s="88" t="s">
        <v>773</v>
      </c>
      <c r="F31" s="88"/>
      <c r="I31" s="23"/>
    </row>
    <row r="32" spans="1:9" x14ac:dyDescent="0.35">
      <c r="A32" s="22"/>
      <c r="I32" s="23"/>
    </row>
    <row r="33" spans="1:9" x14ac:dyDescent="0.35">
      <c r="A33" s="22"/>
      <c r="D33" s="21" t="s">
        <v>472</v>
      </c>
      <c r="G33" s="15" t="s">
        <v>474</v>
      </c>
      <c r="I33" s="23"/>
    </row>
    <row r="34" spans="1:9" x14ac:dyDescent="0.35">
      <c r="A34" s="22"/>
      <c r="D34" s="21" t="s">
        <v>475</v>
      </c>
      <c r="E34" s="88"/>
      <c r="F34" s="88"/>
      <c r="G34" s="15" t="s">
        <v>476</v>
      </c>
      <c r="I34" s="23"/>
    </row>
    <row r="35" spans="1:9" x14ac:dyDescent="0.35">
      <c r="A35" s="44"/>
      <c r="B35" s="45"/>
      <c r="C35" s="45"/>
      <c r="D35" s="45"/>
      <c r="E35" s="45"/>
      <c r="F35" s="45"/>
      <c r="G35" s="45"/>
      <c r="H35" s="45"/>
      <c r="I35" s="47"/>
    </row>
  </sheetData>
  <mergeCells count="13">
    <mergeCell ref="C8:D8"/>
    <mergeCell ref="A2:I2"/>
    <mergeCell ref="A3:I3"/>
    <mergeCell ref="B5:I5"/>
    <mergeCell ref="A6:I6"/>
    <mergeCell ref="E7:H7"/>
    <mergeCell ref="E34:F34"/>
    <mergeCell ref="A10:I10"/>
    <mergeCell ref="A12:G12"/>
    <mergeCell ref="H12:I12"/>
    <mergeCell ref="A14:G14"/>
    <mergeCell ref="A22:G22"/>
    <mergeCell ref="E31:F31"/>
  </mergeCells>
  <phoneticPr fontId="3" type="noConversion"/>
  <printOptions horizontalCentered="1"/>
  <pageMargins left="0.11811023622047245" right="0.11811023622047245" top="0.74803149606299213" bottom="0.74803149606299213" header="0.31496062992125984" footer="0.31496062992125984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F70E-34AC-4F3F-AA4E-D744347B181A}">
  <dimension ref="A1:F63"/>
  <sheetViews>
    <sheetView topLeftCell="A46" workbookViewId="0">
      <selection activeCell="B58" sqref="B58:C58"/>
    </sheetView>
  </sheetViews>
  <sheetFormatPr defaultRowHeight="21" x14ac:dyDescent="0.35"/>
  <cols>
    <col min="1" max="1" width="6.125" customWidth="1"/>
    <col min="2" max="2" width="38.75" customWidth="1"/>
    <col min="3" max="3" width="16.75" style="10" customWidth="1"/>
    <col min="4" max="4" width="9.625" style="10" customWidth="1"/>
    <col min="5" max="5" width="15.25" customWidth="1"/>
    <col min="6" max="6" width="11.25" customWidth="1"/>
  </cols>
  <sheetData>
    <row r="1" spans="1:6" x14ac:dyDescent="0.35">
      <c r="A1" t="s">
        <v>440</v>
      </c>
    </row>
    <row r="2" spans="1:6" x14ac:dyDescent="0.35">
      <c r="A2" t="s">
        <v>11</v>
      </c>
      <c r="B2" t="s">
        <v>437</v>
      </c>
      <c r="C2" s="10" t="s">
        <v>438</v>
      </c>
      <c r="D2" s="10" t="s">
        <v>441</v>
      </c>
      <c r="E2" t="s">
        <v>439</v>
      </c>
    </row>
    <row r="3" spans="1:6" x14ac:dyDescent="0.35">
      <c r="A3">
        <v>1</v>
      </c>
      <c r="B3" t="s">
        <v>582</v>
      </c>
      <c r="C3" s="11">
        <v>9920017430158</v>
      </c>
      <c r="D3" s="10">
        <v>30</v>
      </c>
      <c r="E3" t="s">
        <v>442</v>
      </c>
      <c r="F3" t="s">
        <v>527</v>
      </c>
    </row>
    <row r="4" spans="1:6" x14ac:dyDescent="0.35">
      <c r="A4">
        <v>2</v>
      </c>
      <c r="B4" t="s">
        <v>576</v>
      </c>
      <c r="C4" s="11">
        <v>9920017430159</v>
      </c>
      <c r="D4" s="10">
        <v>30</v>
      </c>
      <c r="E4" t="s">
        <v>442</v>
      </c>
      <c r="F4" t="s">
        <v>527</v>
      </c>
    </row>
    <row r="5" spans="1:6" x14ac:dyDescent="0.35">
      <c r="A5">
        <v>3</v>
      </c>
      <c r="B5" t="s">
        <v>521</v>
      </c>
      <c r="C5" s="11">
        <v>920224190208</v>
      </c>
      <c r="D5" s="10">
        <v>30</v>
      </c>
      <c r="E5" t="s">
        <v>442</v>
      </c>
      <c r="F5" t="s">
        <v>525</v>
      </c>
    </row>
    <row r="6" spans="1:6" x14ac:dyDescent="0.35">
      <c r="A6">
        <v>4</v>
      </c>
      <c r="B6" t="s">
        <v>846</v>
      </c>
      <c r="C6" s="11">
        <v>1630015380108</v>
      </c>
      <c r="D6" s="10">
        <v>30</v>
      </c>
      <c r="E6" t="s">
        <v>600</v>
      </c>
      <c r="F6" t="s">
        <v>10</v>
      </c>
    </row>
    <row r="7" spans="1:6" x14ac:dyDescent="0.35">
      <c r="A7">
        <v>5</v>
      </c>
      <c r="B7" t="s">
        <v>711</v>
      </c>
      <c r="C7" s="11">
        <v>920017330120</v>
      </c>
      <c r="D7" s="10">
        <v>42</v>
      </c>
      <c r="E7" t="s">
        <v>442</v>
      </c>
      <c r="F7" t="s">
        <v>665</v>
      </c>
    </row>
    <row r="8" spans="1:6" x14ac:dyDescent="0.35">
      <c r="A8">
        <v>6</v>
      </c>
      <c r="B8" t="s">
        <v>817</v>
      </c>
      <c r="C8" s="11">
        <v>930014150101</v>
      </c>
      <c r="D8" s="10">
        <v>18</v>
      </c>
      <c r="E8" t="s">
        <v>600</v>
      </c>
      <c r="F8" t="s">
        <v>638</v>
      </c>
    </row>
    <row r="9" spans="1:6" x14ac:dyDescent="0.35">
      <c r="A9">
        <v>7</v>
      </c>
      <c r="B9" t="s">
        <v>583</v>
      </c>
      <c r="C9" s="11">
        <v>50200172304103</v>
      </c>
      <c r="D9" s="10">
        <v>30</v>
      </c>
      <c r="E9" t="s">
        <v>442</v>
      </c>
      <c r="F9" t="s">
        <v>527</v>
      </c>
    </row>
    <row r="10" spans="1:6" x14ac:dyDescent="0.35">
      <c r="A10">
        <v>8</v>
      </c>
      <c r="B10" t="s">
        <v>583</v>
      </c>
      <c r="C10" s="11">
        <v>50200172304103</v>
      </c>
      <c r="D10" s="10">
        <v>30</v>
      </c>
      <c r="E10" t="s">
        <v>442</v>
      </c>
      <c r="F10" t="s">
        <v>527</v>
      </c>
    </row>
    <row r="11" spans="1:6" x14ac:dyDescent="0.35">
      <c r="A11">
        <v>9</v>
      </c>
      <c r="B11" t="s">
        <v>528</v>
      </c>
      <c r="C11" s="11">
        <v>8220013390103</v>
      </c>
      <c r="D11" s="10">
        <v>30</v>
      </c>
      <c r="E11" t="s">
        <v>442</v>
      </c>
      <c r="F11" t="s">
        <v>527</v>
      </c>
    </row>
    <row r="12" spans="1:6" x14ac:dyDescent="0.35">
      <c r="A12">
        <v>10</v>
      </c>
      <c r="B12" t="s">
        <v>785</v>
      </c>
      <c r="C12" s="11">
        <v>920224220305</v>
      </c>
      <c r="D12" s="10">
        <v>30</v>
      </c>
      <c r="E12" t="s">
        <v>442</v>
      </c>
      <c r="F12" t="s">
        <v>787</v>
      </c>
    </row>
    <row r="13" spans="1:6" x14ac:dyDescent="0.35">
      <c r="A13">
        <v>11</v>
      </c>
      <c r="B13" t="s">
        <v>580</v>
      </c>
      <c r="C13" s="11">
        <v>5820015280402</v>
      </c>
      <c r="D13" s="10">
        <v>30</v>
      </c>
      <c r="E13" t="s">
        <v>442</v>
      </c>
      <c r="F13" t="s">
        <v>527</v>
      </c>
    </row>
    <row r="14" spans="1:6" x14ac:dyDescent="0.35">
      <c r="A14">
        <v>12</v>
      </c>
      <c r="B14" t="s">
        <v>601</v>
      </c>
      <c r="C14" s="11">
        <v>2030014170203</v>
      </c>
      <c r="D14" s="10">
        <v>30</v>
      </c>
      <c r="E14" t="s">
        <v>600</v>
      </c>
      <c r="F14" t="s">
        <v>10</v>
      </c>
    </row>
    <row r="15" spans="1:6" x14ac:dyDescent="0.35">
      <c r="A15">
        <v>13</v>
      </c>
      <c r="B15" t="s">
        <v>1006</v>
      </c>
      <c r="C15" s="11">
        <v>930015282602</v>
      </c>
      <c r="D15" s="10">
        <v>30</v>
      </c>
      <c r="E15" t="s">
        <v>600</v>
      </c>
      <c r="F15" t="s">
        <v>1007</v>
      </c>
    </row>
    <row r="16" spans="1:6" x14ac:dyDescent="0.35">
      <c r="A16">
        <v>14</v>
      </c>
      <c r="B16" t="s">
        <v>575</v>
      </c>
      <c r="C16" s="11">
        <v>9920017430344</v>
      </c>
      <c r="D16" s="10">
        <v>30</v>
      </c>
      <c r="E16" t="s">
        <v>442</v>
      </c>
      <c r="F16" t="s">
        <v>527</v>
      </c>
    </row>
    <row r="17" spans="1:6" x14ac:dyDescent="0.35">
      <c r="A17">
        <v>15</v>
      </c>
      <c r="B17" t="s">
        <v>659</v>
      </c>
      <c r="C17" s="11">
        <v>2030015040501</v>
      </c>
      <c r="D17" s="10">
        <v>30</v>
      </c>
      <c r="E17" t="s">
        <v>600</v>
      </c>
    </row>
    <row r="18" spans="1:6" x14ac:dyDescent="0.35">
      <c r="A18">
        <v>16</v>
      </c>
      <c r="B18" t="s">
        <v>1170</v>
      </c>
      <c r="C18" s="11">
        <v>920013100408</v>
      </c>
      <c r="D18" s="10">
        <v>30</v>
      </c>
      <c r="E18" t="s">
        <v>442</v>
      </c>
    </row>
    <row r="19" spans="1:6" x14ac:dyDescent="0.35">
      <c r="A19">
        <v>17</v>
      </c>
      <c r="B19" t="s">
        <v>758</v>
      </c>
      <c r="C19" s="11">
        <v>2030012080501</v>
      </c>
      <c r="D19" s="10">
        <v>18</v>
      </c>
      <c r="E19" t="s">
        <v>600</v>
      </c>
      <c r="F19" t="s">
        <v>10</v>
      </c>
    </row>
    <row r="20" spans="1:6" x14ac:dyDescent="0.35">
      <c r="A20">
        <v>18</v>
      </c>
      <c r="B20" t="s">
        <v>489</v>
      </c>
      <c r="C20" s="11">
        <v>920227330207</v>
      </c>
      <c r="D20" s="10">
        <v>30</v>
      </c>
      <c r="E20" t="s">
        <v>442</v>
      </c>
      <c r="F20" t="s">
        <v>527</v>
      </c>
    </row>
    <row r="21" spans="1:6" x14ac:dyDescent="0.35">
      <c r="A21">
        <v>19</v>
      </c>
      <c r="B21" t="s">
        <v>577</v>
      </c>
      <c r="C21" s="11">
        <v>920227330208</v>
      </c>
      <c r="D21" s="10">
        <v>30</v>
      </c>
      <c r="E21" t="s">
        <v>442</v>
      </c>
      <c r="F21" t="s">
        <v>527</v>
      </c>
    </row>
    <row r="22" spans="1:6" x14ac:dyDescent="0.35">
      <c r="A22">
        <v>20</v>
      </c>
      <c r="B22" t="s">
        <v>842</v>
      </c>
      <c r="C22" s="11">
        <v>920227330501</v>
      </c>
      <c r="D22" s="10">
        <v>30</v>
      </c>
      <c r="E22" t="s">
        <v>442</v>
      </c>
      <c r="F22" t="s">
        <v>527</v>
      </c>
    </row>
    <row r="23" spans="1:6" x14ac:dyDescent="0.35">
      <c r="A23">
        <v>21</v>
      </c>
      <c r="B23" t="s">
        <v>762</v>
      </c>
      <c r="C23" s="11">
        <v>2030017330507</v>
      </c>
      <c r="D23" s="10">
        <v>30</v>
      </c>
      <c r="E23" t="s">
        <v>600</v>
      </c>
      <c r="F23" t="s">
        <v>10</v>
      </c>
    </row>
    <row r="24" spans="1:6" x14ac:dyDescent="0.35">
      <c r="A24">
        <v>22</v>
      </c>
      <c r="B24" t="s">
        <v>783</v>
      </c>
      <c r="C24" s="11">
        <v>920224190212</v>
      </c>
      <c r="D24" s="10">
        <v>30</v>
      </c>
      <c r="E24" t="s">
        <v>442</v>
      </c>
      <c r="F24" t="s">
        <v>787</v>
      </c>
    </row>
    <row r="25" spans="1:6" x14ac:dyDescent="0.35">
      <c r="A25">
        <v>23</v>
      </c>
      <c r="B25" t="s">
        <v>784</v>
      </c>
      <c r="C25" s="11">
        <v>3020087360301</v>
      </c>
      <c r="D25" s="10">
        <v>30</v>
      </c>
      <c r="E25" t="s">
        <v>442</v>
      </c>
      <c r="F25" t="s">
        <v>787</v>
      </c>
    </row>
    <row r="26" spans="1:6" x14ac:dyDescent="0.35">
      <c r="A26">
        <v>24</v>
      </c>
      <c r="B26" t="s">
        <v>637</v>
      </c>
      <c r="C26" s="11">
        <v>930016260107</v>
      </c>
      <c r="D26" s="10">
        <v>18</v>
      </c>
      <c r="E26" t="s">
        <v>600</v>
      </c>
      <c r="F26" t="s">
        <v>638</v>
      </c>
    </row>
    <row r="27" spans="1:6" x14ac:dyDescent="0.35">
      <c r="A27">
        <v>25</v>
      </c>
      <c r="B27" t="s">
        <v>1010</v>
      </c>
      <c r="C27" s="11">
        <v>2020017231102</v>
      </c>
      <c r="D27" s="10">
        <v>18</v>
      </c>
      <c r="E27" t="s">
        <v>442</v>
      </c>
    </row>
    <row r="28" spans="1:6" x14ac:dyDescent="0.35">
      <c r="A28">
        <v>26</v>
      </c>
      <c r="B28" t="s">
        <v>530</v>
      </c>
      <c r="C28" s="11">
        <v>920047370301</v>
      </c>
      <c r="D28" s="10">
        <v>30</v>
      </c>
      <c r="E28" t="s">
        <v>442</v>
      </c>
      <c r="F28" t="s">
        <v>527</v>
      </c>
    </row>
    <row r="29" spans="1:6" x14ac:dyDescent="0.35">
      <c r="A29">
        <v>27</v>
      </c>
      <c r="B29" t="s">
        <v>682</v>
      </c>
      <c r="C29" s="11">
        <v>920224200201</v>
      </c>
      <c r="D29" s="10">
        <v>30</v>
      </c>
      <c r="E29" t="s">
        <v>442</v>
      </c>
      <c r="F29" t="s">
        <v>525</v>
      </c>
    </row>
    <row r="30" spans="1:6" x14ac:dyDescent="0.35">
      <c r="A30">
        <v>28</v>
      </c>
      <c r="B30" t="s">
        <v>794</v>
      </c>
      <c r="C30" s="11">
        <v>920084220107</v>
      </c>
      <c r="D30" s="10">
        <v>30</v>
      </c>
      <c r="E30" t="s">
        <v>442</v>
      </c>
      <c r="F30" t="s">
        <v>525</v>
      </c>
    </row>
    <row r="31" spans="1:6" x14ac:dyDescent="0.35">
      <c r="A31">
        <v>29</v>
      </c>
      <c r="B31" t="s">
        <v>870</v>
      </c>
      <c r="C31" s="11">
        <v>2030017350402</v>
      </c>
      <c r="D31" s="10">
        <v>30</v>
      </c>
      <c r="E31" t="s">
        <v>600</v>
      </c>
      <c r="F31" t="s">
        <v>10</v>
      </c>
    </row>
    <row r="32" spans="1:6" x14ac:dyDescent="0.35">
      <c r="A32">
        <v>30</v>
      </c>
      <c r="B32" t="s">
        <v>851</v>
      </c>
      <c r="C32" s="11">
        <v>920014220501</v>
      </c>
      <c r="D32" s="10">
        <v>30</v>
      </c>
      <c r="E32" t="s">
        <v>442</v>
      </c>
      <c r="F32" t="s">
        <v>525</v>
      </c>
    </row>
    <row r="33" spans="1:6" x14ac:dyDescent="0.35">
      <c r="A33">
        <v>31</v>
      </c>
      <c r="B33" t="s">
        <v>523</v>
      </c>
      <c r="C33" s="11">
        <v>920014220501</v>
      </c>
      <c r="D33" s="10">
        <v>30</v>
      </c>
      <c r="E33" t="s">
        <v>442</v>
      </c>
      <c r="F33" t="s">
        <v>525</v>
      </c>
    </row>
    <row r="34" spans="1:6" x14ac:dyDescent="0.35">
      <c r="A34">
        <v>32</v>
      </c>
      <c r="B34" t="s">
        <v>780</v>
      </c>
      <c r="C34" s="11">
        <v>920014220605</v>
      </c>
      <c r="D34" s="10">
        <v>30</v>
      </c>
      <c r="E34" t="s">
        <v>442</v>
      </c>
      <c r="F34" t="s">
        <v>787</v>
      </c>
    </row>
    <row r="35" spans="1:6" x14ac:dyDescent="0.35">
      <c r="A35">
        <v>33</v>
      </c>
      <c r="B35" t="s">
        <v>522</v>
      </c>
      <c r="C35" s="11">
        <v>920014220602</v>
      </c>
      <c r="D35" s="10">
        <v>30</v>
      </c>
      <c r="E35" t="s">
        <v>442</v>
      </c>
      <c r="F35" t="s">
        <v>525</v>
      </c>
    </row>
    <row r="36" spans="1:6" x14ac:dyDescent="0.35">
      <c r="A36">
        <v>34</v>
      </c>
      <c r="B36" t="s">
        <v>752</v>
      </c>
      <c r="C36" s="11">
        <v>7720015281001</v>
      </c>
      <c r="D36" s="10">
        <v>30</v>
      </c>
      <c r="E36" t="s">
        <v>442</v>
      </c>
      <c r="F36" t="s">
        <v>751</v>
      </c>
    </row>
    <row r="37" spans="1:6" x14ac:dyDescent="0.35">
      <c r="A37">
        <v>35</v>
      </c>
      <c r="B37" t="s">
        <v>852</v>
      </c>
      <c r="C37" s="11">
        <v>10120014220604</v>
      </c>
      <c r="D37" s="10">
        <v>30</v>
      </c>
      <c r="E37" t="s">
        <v>442</v>
      </c>
      <c r="F37" t="s">
        <v>525</v>
      </c>
    </row>
    <row r="38" spans="1:6" x14ac:dyDescent="0.35">
      <c r="A38">
        <v>36</v>
      </c>
      <c r="B38" t="s">
        <v>579</v>
      </c>
      <c r="C38" s="11">
        <v>920227370105</v>
      </c>
      <c r="D38" s="10">
        <v>30</v>
      </c>
      <c r="E38" t="s">
        <v>442</v>
      </c>
      <c r="F38" t="s">
        <v>527</v>
      </c>
    </row>
    <row r="39" spans="1:6" x14ac:dyDescent="0.35">
      <c r="A39">
        <v>37</v>
      </c>
      <c r="B39" t="s">
        <v>579</v>
      </c>
      <c r="C39" s="11">
        <v>920227370105</v>
      </c>
      <c r="D39" s="10">
        <v>30</v>
      </c>
      <c r="E39" t="s">
        <v>442</v>
      </c>
      <c r="F39" t="s">
        <v>527</v>
      </c>
    </row>
    <row r="40" spans="1:6" x14ac:dyDescent="0.35">
      <c r="A40">
        <v>38</v>
      </c>
      <c r="B40" t="s">
        <v>578</v>
      </c>
      <c r="C40" s="11">
        <v>920224220408</v>
      </c>
      <c r="D40" s="10">
        <v>30</v>
      </c>
      <c r="E40" t="s">
        <v>442</v>
      </c>
      <c r="F40" t="s">
        <v>527</v>
      </c>
    </row>
    <row r="41" spans="1:6" x14ac:dyDescent="0.35">
      <c r="A41">
        <v>39</v>
      </c>
      <c r="B41" t="s">
        <v>578</v>
      </c>
      <c r="C41" s="11">
        <v>920224220408</v>
      </c>
      <c r="D41" s="10">
        <v>30</v>
      </c>
      <c r="E41" t="s">
        <v>442</v>
      </c>
      <c r="F41" t="s">
        <v>527</v>
      </c>
    </row>
    <row r="42" spans="1:6" x14ac:dyDescent="0.35">
      <c r="A42">
        <v>40</v>
      </c>
      <c r="B42" t="s">
        <v>786</v>
      </c>
      <c r="C42" s="11">
        <v>920227230301</v>
      </c>
      <c r="D42" s="10">
        <v>30</v>
      </c>
      <c r="E42" t="s">
        <v>442</v>
      </c>
      <c r="F42" t="s">
        <v>787</v>
      </c>
    </row>
    <row r="43" spans="1:6" x14ac:dyDescent="0.35">
      <c r="A43">
        <v>41</v>
      </c>
      <c r="B43" t="s">
        <v>781</v>
      </c>
      <c r="C43" s="11">
        <v>10020083270127</v>
      </c>
      <c r="D43" s="10">
        <v>30</v>
      </c>
      <c r="E43" t="s">
        <v>442</v>
      </c>
      <c r="F43" t="s">
        <v>787</v>
      </c>
    </row>
    <row r="44" spans="1:6" x14ac:dyDescent="0.35">
      <c r="A44">
        <v>42</v>
      </c>
      <c r="B44" t="s">
        <v>581</v>
      </c>
      <c r="C44" s="11">
        <v>920027430201</v>
      </c>
      <c r="D44" s="10">
        <v>30</v>
      </c>
      <c r="E44" t="s">
        <v>442</v>
      </c>
      <c r="F44" t="s">
        <v>527</v>
      </c>
    </row>
    <row r="45" spans="1:6" x14ac:dyDescent="0.35">
      <c r="A45">
        <v>43</v>
      </c>
      <c r="B45" t="s">
        <v>640</v>
      </c>
      <c r="C45" s="11">
        <v>920047320402</v>
      </c>
      <c r="D45" s="10">
        <v>8</v>
      </c>
      <c r="E45" t="s">
        <v>442</v>
      </c>
      <c r="F45" t="s">
        <v>639</v>
      </c>
    </row>
    <row r="46" spans="1:6" x14ac:dyDescent="0.35">
      <c r="A46">
        <v>44</v>
      </c>
      <c r="B46" t="s">
        <v>443</v>
      </c>
      <c r="C46" s="11">
        <v>920227330506</v>
      </c>
      <c r="D46" s="10">
        <v>30</v>
      </c>
      <c r="E46" t="s">
        <v>442</v>
      </c>
      <c r="F46" t="s">
        <v>527</v>
      </c>
    </row>
    <row r="47" spans="1:6" x14ac:dyDescent="0.35">
      <c r="A47">
        <v>45</v>
      </c>
      <c r="B47" t="s">
        <v>782</v>
      </c>
      <c r="C47" s="11">
        <v>9720083100401</v>
      </c>
      <c r="D47" s="10">
        <v>30</v>
      </c>
      <c r="E47" t="s">
        <v>442</v>
      </c>
      <c r="F47" t="s">
        <v>787</v>
      </c>
    </row>
    <row r="48" spans="1:6" x14ac:dyDescent="0.35">
      <c r="A48">
        <v>46</v>
      </c>
      <c r="B48" t="s">
        <v>529</v>
      </c>
      <c r="C48" s="11"/>
      <c r="D48" s="10">
        <v>30</v>
      </c>
      <c r="E48" t="s">
        <v>442</v>
      </c>
      <c r="F48" t="s">
        <v>527</v>
      </c>
    </row>
    <row r="49" spans="1:6" x14ac:dyDescent="0.35">
      <c r="A49">
        <v>47</v>
      </c>
      <c r="B49" t="s">
        <v>703</v>
      </c>
      <c r="C49" s="11">
        <v>920027340101</v>
      </c>
      <c r="D49" s="10">
        <v>30</v>
      </c>
      <c r="E49" t="s">
        <v>442</v>
      </c>
      <c r="F49" t="s">
        <v>527</v>
      </c>
    </row>
    <row r="50" spans="1:6" x14ac:dyDescent="0.35">
      <c r="A50">
        <v>48</v>
      </c>
      <c r="B50" t="s">
        <v>997</v>
      </c>
      <c r="C50" s="11">
        <v>1120017230458</v>
      </c>
      <c r="D50" s="10">
        <v>30</v>
      </c>
      <c r="E50" t="s">
        <v>442</v>
      </c>
      <c r="F50" t="s">
        <v>933</v>
      </c>
    </row>
    <row r="51" spans="1:6" x14ac:dyDescent="0.35">
      <c r="A51">
        <v>49</v>
      </c>
      <c r="B51" t="s">
        <v>524</v>
      </c>
      <c r="C51" s="11">
        <v>9720082091014</v>
      </c>
      <c r="D51" s="10">
        <v>30</v>
      </c>
      <c r="E51" t="s">
        <v>442</v>
      </c>
      <c r="F51" t="s">
        <v>526</v>
      </c>
    </row>
    <row r="52" spans="1:6" x14ac:dyDescent="0.35">
      <c r="A52">
        <v>50</v>
      </c>
      <c r="B52" t="s">
        <v>551</v>
      </c>
      <c r="C52" s="11">
        <v>929997230901</v>
      </c>
      <c r="D52" s="10">
        <v>30</v>
      </c>
      <c r="E52" t="s">
        <v>442</v>
      </c>
      <c r="F52" t="s">
        <v>545</v>
      </c>
    </row>
    <row r="53" spans="1:6" x14ac:dyDescent="0.35">
      <c r="A53">
        <v>51</v>
      </c>
      <c r="B53" t="s">
        <v>782</v>
      </c>
      <c r="C53" s="11">
        <v>9720083100401</v>
      </c>
      <c r="D53" s="10">
        <v>30</v>
      </c>
      <c r="E53" t="s">
        <v>442</v>
      </c>
    </row>
    <row r="54" spans="1:6" x14ac:dyDescent="0.35">
      <c r="A54">
        <v>52</v>
      </c>
      <c r="B54" t="s">
        <v>1173</v>
      </c>
      <c r="C54" s="11">
        <v>920061011002</v>
      </c>
      <c r="D54" s="10">
        <v>30</v>
      </c>
      <c r="E54" t="s">
        <v>442</v>
      </c>
    </row>
    <row r="55" spans="1:6" x14ac:dyDescent="0.35">
      <c r="A55">
        <v>53</v>
      </c>
      <c r="B55" t="s">
        <v>1303</v>
      </c>
      <c r="C55" s="11">
        <v>920227360106</v>
      </c>
      <c r="D55" s="10">
        <v>30</v>
      </c>
      <c r="E55" t="s">
        <v>442</v>
      </c>
    </row>
    <row r="56" spans="1:6" x14ac:dyDescent="0.35">
      <c r="A56">
        <v>54</v>
      </c>
      <c r="B56" t="s">
        <v>1350</v>
      </c>
      <c r="C56" s="11">
        <v>930024170101</v>
      </c>
      <c r="D56" s="10">
        <v>90</v>
      </c>
      <c r="E56" t="s">
        <v>600</v>
      </c>
    </row>
    <row r="57" spans="1:6" x14ac:dyDescent="0.35">
      <c r="A57">
        <v>55</v>
      </c>
      <c r="B57" t="s">
        <v>1351</v>
      </c>
      <c r="C57" s="11">
        <v>930023100201</v>
      </c>
      <c r="D57" s="10">
        <v>90</v>
      </c>
      <c r="E57" t="s">
        <v>600</v>
      </c>
    </row>
    <row r="58" spans="1:6" x14ac:dyDescent="0.35">
      <c r="A58">
        <v>56</v>
      </c>
      <c r="B58" t="s">
        <v>786</v>
      </c>
      <c r="C58" s="11" t="s">
        <v>1357</v>
      </c>
      <c r="D58" s="10">
        <v>30</v>
      </c>
      <c r="E58" t="s">
        <v>442</v>
      </c>
    </row>
    <row r="59" spans="1:6" x14ac:dyDescent="0.35">
      <c r="C59" s="11"/>
    </row>
    <row r="60" spans="1:6" x14ac:dyDescent="0.35">
      <c r="C60" s="11"/>
    </row>
    <row r="61" spans="1:6" x14ac:dyDescent="0.35">
      <c r="C61" s="11"/>
    </row>
    <row r="62" spans="1:6" x14ac:dyDescent="0.35">
      <c r="C62" s="11"/>
    </row>
    <row r="63" spans="1:6" s="53" customFormat="1" x14ac:dyDescent="0.35">
      <c r="E63" s="53" t="s">
        <v>481</v>
      </c>
    </row>
  </sheetData>
  <autoFilter ref="A2:F2" xr:uid="{7D1FF70E-34AC-4F3F-AA4E-D744347B181A}">
    <sortState xmlns:xlrd2="http://schemas.microsoft.com/office/spreadsheetml/2017/richdata2" ref="A3:F52">
      <sortCondition ref="B2"/>
    </sortState>
  </autoFilter>
  <phoneticPr fontId="3" type="noConversion"/>
  <dataValidations count="1">
    <dataValidation type="list" allowBlank="1" showInputMessage="1" showErrorMessage="1" sqref="E3:E63" xr:uid="{75DA7A74-7E6E-4D47-B40E-4A40F9A2707B}">
      <formula1>"ยกระดับฝีมือ , อาชีพเสริม , เตรียมเข้าทำงาน"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24C2-37EE-49F9-811A-F55A802B586C}">
  <dimension ref="A1:H34"/>
  <sheetViews>
    <sheetView topLeftCell="A16" workbookViewId="0">
      <selection activeCell="B31" sqref="B31"/>
    </sheetView>
  </sheetViews>
  <sheetFormatPr defaultRowHeight="21" x14ac:dyDescent="0.35"/>
  <cols>
    <col min="1" max="1" width="6.75" customWidth="1"/>
    <col min="2" max="2" width="30.5" customWidth="1"/>
    <col min="3" max="3" width="13" customWidth="1"/>
    <col min="4" max="4" width="12.75" customWidth="1"/>
    <col min="6" max="6" width="11.75" customWidth="1"/>
    <col min="7" max="7" width="11.25" customWidth="1"/>
    <col min="8" max="8" width="9.875" bestFit="1" customWidth="1"/>
  </cols>
  <sheetData>
    <row r="1" spans="1:7" x14ac:dyDescent="0.35">
      <c r="A1" t="s">
        <v>445</v>
      </c>
    </row>
    <row r="2" spans="1:7" x14ac:dyDescent="0.35">
      <c r="A2" t="s">
        <v>11</v>
      </c>
      <c r="B2" t="s">
        <v>487</v>
      </c>
      <c r="C2" t="s">
        <v>503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35">
      <c r="A3">
        <v>1</v>
      </c>
      <c r="B3" t="s">
        <v>446</v>
      </c>
      <c r="C3" t="s">
        <v>447</v>
      </c>
      <c r="D3" t="s">
        <v>35</v>
      </c>
      <c r="E3" t="s">
        <v>130</v>
      </c>
      <c r="F3" t="s">
        <v>27</v>
      </c>
      <c r="G3">
        <v>20000</v>
      </c>
    </row>
    <row r="4" spans="1:7" x14ac:dyDescent="0.35">
      <c r="A4">
        <v>2</v>
      </c>
      <c r="B4" t="s">
        <v>483</v>
      </c>
      <c r="E4" t="s">
        <v>484</v>
      </c>
      <c r="F4" t="s">
        <v>27</v>
      </c>
    </row>
    <row r="5" spans="1:7" x14ac:dyDescent="0.35">
      <c r="A5">
        <v>3</v>
      </c>
      <c r="B5" t="s">
        <v>592</v>
      </c>
      <c r="D5" t="s">
        <v>593</v>
      </c>
      <c r="E5" t="s">
        <v>130</v>
      </c>
      <c r="F5" t="s">
        <v>27</v>
      </c>
      <c r="G5">
        <v>20130</v>
      </c>
    </row>
    <row r="6" spans="1:7" x14ac:dyDescent="0.35">
      <c r="A6">
        <v>4</v>
      </c>
      <c r="B6" t="s">
        <v>602</v>
      </c>
      <c r="D6" t="s">
        <v>603</v>
      </c>
      <c r="E6" t="s">
        <v>223</v>
      </c>
      <c r="F6" t="s">
        <v>27</v>
      </c>
      <c r="G6">
        <v>20220</v>
      </c>
    </row>
    <row r="7" spans="1:7" x14ac:dyDescent="0.35">
      <c r="A7">
        <v>5</v>
      </c>
      <c r="B7" t="s">
        <v>631</v>
      </c>
      <c r="D7" t="s">
        <v>632</v>
      </c>
      <c r="E7" t="s">
        <v>258</v>
      </c>
      <c r="F7" t="s">
        <v>27</v>
      </c>
    </row>
    <row r="8" spans="1:7" x14ac:dyDescent="0.35">
      <c r="A8">
        <v>6</v>
      </c>
      <c r="B8" t="s">
        <v>633</v>
      </c>
      <c r="E8" t="s">
        <v>484</v>
      </c>
      <c r="F8" t="s">
        <v>27</v>
      </c>
    </row>
    <row r="9" spans="1:7" x14ac:dyDescent="0.35">
      <c r="A9">
        <v>7</v>
      </c>
      <c r="B9" t="s">
        <v>636</v>
      </c>
      <c r="C9" t="s">
        <v>635</v>
      </c>
      <c r="D9" t="s">
        <v>634</v>
      </c>
      <c r="E9" t="s">
        <v>130</v>
      </c>
      <c r="F9" t="s">
        <v>27</v>
      </c>
      <c r="G9">
        <v>20000</v>
      </c>
    </row>
    <row r="10" spans="1:7" x14ac:dyDescent="0.35">
      <c r="A10">
        <v>8</v>
      </c>
      <c r="B10" t="s">
        <v>702</v>
      </c>
      <c r="D10" t="s">
        <v>593</v>
      </c>
      <c r="E10" t="s">
        <v>130</v>
      </c>
      <c r="F10" t="s">
        <v>27</v>
      </c>
      <c r="G10">
        <v>20130</v>
      </c>
    </row>
    <row r="11" spans="1:7" x14ac:dyDescent="0.35">
      <c r="A11">
        <v>9</v>
      </c>
      <c r="B11" t="s">
        <v>716</v>
      </c>
    </row>
    <row r="12" spans="1:7" x14ac:dyDescent="0.35">
      <c r="A12">
        <v>10</v>
      </c>
      <c r="B12" t="s">
        <v>717</v>
      </c>
    </row>
    <row r="13" spans="1:7" x14ac:dyDescent="0.35">
      <c r="A13">
        <v>11</v>
      </c>
      <c r="B13" t="s">
        <v>738</v>
      </c>
      <c r="C13" t="s">
        <v>737</v>
      </c>
      <c r="D13" t="s">
        <v>634</v>
      </c>
      <c r="E13" t="s">
        <v>130</v>
      </c>
      <c r="F13" t="s">
        <v>27</v>
      </c>
      <c r="G13">
        <v>20000</v>
      </c>
    </row>
    <row r="14" spans="1:7" x14ac:dyDescent="0.35">
      <c r="A14">
        <v>12</v>
      </c>
      <c r="B14" t="s">
        <v>740</v>
      </c>
    </row>
    <row r="15" spans="1:7" x14ac:dyDescent="0.35">
      <c r="A15">
        <v>13</v>
      </c>
      <c r="B15" t="s">
        <v>750</v>
      </c>
    </row>
    <row r="16" spans="1:7" x14ac:dyDescent="0.35">
      <c r="A16">
        <v>14</v>
      </c>
      <c r="B16" t="s">
        <v>759</v>
      </c>
    </row>
    <row r="17" spans="1:8" x14ac:dyDescent="0.35">
      <c r="A17">
        <v>15</v>
      </c>
      <c r="B17" t="s">
        <v>763</v>
      </c>
    </row>
    <row r="18" spans="1:8" x14ac:dyDescent="0.35">
      <c r="A18">
        <v>16</v>
      </c>
      <c r="B18" t="s">
        <v>791</v>
      </c>
    </row>
    <row r="19" spans="1:8" x14ac:dyDescent="0.35">
      <c r="A19">
        <v>17</v>
      </c>
      <c r="B19" t="s">
        <v>812</v>
      </c>
      <c r="H19">
        <v>840336729</v>
      </c>
    </row>
    <row r="20" spans="1:8" x14ac:dyDescent="0.35">
      <c r="A20">
        <v>18</v>
      </c>
      <c r="B20" t="s">
        <v>824</v>
      </c>
      <c r="C20" t="s">
        <v>823</v>
      </c>
    </row>
    <row r="21" spans="1:8" x14ac:dyDescent="0.35">
      <c r="A21">
        <v>19</v>
      </c>
      <c r="B21" t="s">
        <v>831</v>
      </c>
    </row>
    <row r="22" spans="1:8" x14ac:dyDescent="0.35">
      <c r="A22">
        <v>20</v>
      </c>
      <c r="B22" t="s">
        <v>847</v>
      </c>
      <c r="C22" t="s">
        <v>840</v>
      </c>
      <c r="D22" t="s">
        <v>841</v>
      </c>
      <c r="E22" t="s">
        <v>43</v>
      </c>
      <c r="F22" t="s">
        <v>27</v>
      </c>
    </row>
    <row r="23" spans="1:8" x14ac:dyDescent="0.35">
      <c r="A23">
        <v>21</v>
      </c>
      <c r="B23" t="s">
        <v>854</v>
      </c>
    </row>
    <row r="24" spans="1:8" x14ac:dyDescent="0.35">
      <c r="A24">
        <v>22</v>
      </c>
      <c r="B24" t="s">
        <v>859</v>
      </c>
    </row>
    <row r="25" spans="1:8" x14ac:dyDescent="0.35">
      <c r="A25">
        <v>23</v>
      </c>
      <c r="B25" t="s">
        <v>881</v>
      </c>
      <c r="C25" t="s">
        <v>882</v>
      </c>
      <c r="D25" t="s">
        <v>166</v>
      </c>
      <c r="E25" t="s">
        <v>130</v>
      </c>
      <c r="F25" t="s">
        <v>27</v>
      </c>
    </row>
    <row r="26" spans="1:8" x14ac:dyDescent="0.35">
      <c r="A26">
        <v>24</v>
      </c>
      <c r="B26" t="s">
        <v>1000</v>
      </c>
      <c r="D26" t="s">
        <v>1001</v>
      </c>
      <c r="E26" t="s">
        <v>484</v>
      </c>
      <c r="F26" t="s">
        <v>27</v>
      </c>
    </row>
    <row r="27" spans="1:8" x14ac:dyDescent="0.35">
      <c r="A27">
        <v>25</v>
      </c>
      <c r="B27" t="s">
        <v>1009</v>
      </c>
    </row>
    <row r="28" spans="1:8" x14ac:dyDescent="0.35">
      <c r="A28">
        <v>26</v>
      </c>
      <c r="B28" t="s">
        <v>1175</v>
      </c>
    </row>
    <row r="29" spans="1:8" x14ac:dyDescent="0.35">
      <c r="A29">
        <v>27</v>
      </c>
      <c r="B29" t="s">
        <v>1356</v>
      </c>
    </row>
    <row r="30" spans="1:8" x14ac:dyDescent="0.35">
      <c r="A30">
        <v>28</v>
      </c>
      <c r="B30" t="s">
        <v>1358</v>
      </c>
    </row>
    <row r="34" spans="2:2" s="53" customFormat="1" x14ac:dyDescent="0.35">
      <c r="B34" s="53" t="s">
        <v>481</v>
      </c>
    </row>
  </sheetData>
  <dataValidations disablePrompts="1" count="1">
    <dataValidation type="list" allowBlank="1" showInputMessage="1" showErrorMessage="1" sqref="B34" xr:uid="{99303ACE-A01C-4FE4-A274-1E32A306E114}">
      <formula1>"ยกระดับฝีมือ , อาชีพเสริม , เตรียมเข้าทำงาน"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BFBA-4EF5-42C1-8CFA-7E128ED9F573}">
  <dimension ref="A2:M76"/>
  <sheetViews>
    <sheetView topLeftCell="A61" zoomScale="112" workbookViewId="0">
      <selection activeCell="B67" sqref="B67"/>
    </sheetView>
  </sheetViews>
  <sheetFormatPr defaultColWidth="9" defaultRowHeight="21" x14ac:dyDescent="0.35"/>
  <cols>
    <col min="1" max="1" width="5.875" style="1" customWidth="1"/>
    <col min="2" max="2" width="15.75" style="1" customWidth="1"/>
    <col min="3" max="3" width="23" style="1" customWidth="1"/>
    <col min="4" max="4" width="15.5" style="1" customWidth="1"/>
    <col min="5" max="5" width="9.25" style="6" bestFit="1" customWidth="1"/>
    <col min="6" max="6" width="9" style="1" customWidth="1"/>
    <col min="7" max="7" width="9" style="1"/>
    <col min="8" max="10" width="12.375" style="1" customWidth="1"/>
    <col min="11" max="11" width="12" style="1" customWidth="1"/>
    <col min="12" max="12" width="15.25" style="2" customWidth="1"/>
    <col min="13" max="13" width="9" style="1"/>
    <col min="14" max="14" width="12.25" style="1" customWidth="1"/>
    <col min="15" max="16384" width="9" style="1"/>
  </cols>
  <sheetData>
    <row r="2" spans="1:13" x14ac:dyDescent="0.35">
      <c r="A2" s="1" t="s">
        <v>11</v>
      </c>
      <c r="B2" s="1" t="s">
        <v>275</v>
      </c>
      <c r="C2" s="1" t="s">
        <v>12</v>
      </c>
      <c r="D2" s="1" t="s">
        <v>273</v>
      </c>
      <c r="E2" s="6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2" t="s">
        <v>20</v>
      </c>
      <c r="M2" s="3" t="s">
        <v>21</v>
      </c>
    </row>
    <row r="3" spans="1:13" x14ac:dyDescent="0.35">
      <c r="A3" s="1">
        <v>1</v>
      </c>
      <c r="B3" s="1" t="s">
        <v>274</v>
      </c>
      <c r="C3" s="1" t="s">
        <v>22</v>
      </c>
      <c r="D3" s="9"/>
      <c r="E3" s="6" t="s">
        <v>23</v>
      </c>
      <c r="F3" s="1">
        <v>12</v>
      </c>
      <c r="G3" s="1" t="s">
        <v>24</v>
      </c>
      <c r="H3" s="1" t="s">
        <v>25</v>
      </c>
      <c r="I3" s="1" t="s">
        <v>26</v>
      </c>
      <c r="J3" s="1" t="s">
        <v>27</v>
      </c>
      <c r="M3" s="4" t="s">
        <v>28</v>
      </c>
    </row>
    <row r="4" spans="1:13" x14ac:dyDescent="0.35">
      <c r="A4" s="1">
        <v>2</v>
      </c>
      <c r="B4" s="1" t="s">
        <v>274</v>
      </c>
      <c r="C4" s="1" t="s">
        <v>29</v>
      </c>
      <c r="D4" s="9"/>
      <c r="E4" s="6">
        <v>61</v>
      </c>
      <c r="F4" s="1">
        <v>10</v>
      </c>
      <c r="H4" s="1" t="s">
        <v>30</v>
      </c>
      <c r="I4" s="1" t="s">
        <v>31</v>
      </c>
      <c r="J4" s="1" t="s">
        <v>32</v>
      </c>
      <c r="M4" s="4" t="s">
        <v>28</v>
      </c>
    </row>
    <row r="5" spans="1:13" x14ac:dyDescent="0.35">
      <c r="A5" s="1">
        <v>3</v>
      </c>
      <c r="B5" s="1" t="s">
        <v>276</v>
      </c>
      <c r="C5" s="1" t="s">
        <v>60</v>
      </c>
      <c r="D5" s="9"/>
      <c r="E5" s="6" t="s">
        <v>61</v>
      </c>
      <c r="F5" s="1" t="s">
        <v>62</v>
      </c>
      <c r="H5" s="1" t="s">
        <v>63</v>
      </c>
      <c r="I5" s="1" t="s">
        <v>63</v>
      </c>
      <c r="J5" s="1" t="s">
        <v>64</v>
      </c>
      <c r="K5" s="1">
        <v>10140</v>
      </c>
      <c r="L5" s="2">
        <v>893294632</v>
      </c>
      <c r="M5" s="4" t="s">
        <v>28</v>
      </c>
    </row>
    <row r="6" spans="1:13" x14ac:dyDescent="0.35">
      <c r="A6" s="1">
        <v>4</v>
      </c>
      <c r="B6" s="1" t="s">
        <v>276</v>
      </c>
      <c r="C6" s="1" t="s">
        <v>67</v>
      </c>
      <c r="D6" s="9"/>
      <c r="E6" s="6">
        <v>1728</v>
      </c>
      <c r="F6" s="1">
        <v>8</v>
      </c>
      <c r="H6" s="1" t="s">
        <v>68</v>
      </c>
      <c r="I6" s="1" t="s">
        <v>69</v>
      </c>
      <c r="J6" s="1" t="s">
        <v>40</v>
      </c>
      <c r="K6" s="1">
        <v>10280</v>
      </c>
      <c r="L6" s="2">
        <v>819133383</v>
      </c>
      <c r="M6" s="4" t="s">
        <v>28</v>
      </c>
    </row>
    <row r="7" spans="1:13" x14ac:dyDescent="0.35">
      <c r="A7" s="1">
        <v>5</v>
      </c>
      <c r="B7" s="1" t="s">
        <v>276</v>
      </c>
      <c r="C7" s="1" t="s">
        <v>95</v>
      </c>
      <c r="D7" s="9"/>
      <c r="E7" s="6" t="s">
        <v>96</v>
      </c>
      <c r="F7" s="1">
        <v>10</v>
      </c>
      <c r="H7" s="1" t="s">
        <v>97</v>
      </c>
      <c r="I7" s="1" t="s">
        <v>98</v>
      </c>
      <c r="J7" s="1" t="s">
        <v>27</v>
      </c>
      <c r="K7" s="1">
        <v>20230</v>
      </c>
      <c r="L7" s="2">
        <v>817574339</v>
      </c>
      <c r="M7" s="4" t="s">
        <v>28</v>
      </c>
    </row>
    <row r="8" spans="1:13" x14ac:dyDescent="0.35">
      <c r="A8" s="1">
        <v>6</v>
      </c>
      <c r="B8" s="1" t="s">
        <v>278</v>
      </c>
      <c r="C8" s="1" t="s">
        <v>128</v>
      </c>
      <c r="D8" s="9">
        <v>3219900004992</v>
      </c>
      <c r="E8" s="6">
        <v>15</v>
      </c>
      <c r="F8" s="1" t="s">
        <v>66</v>
      </c>
      <c r="H8" s="1" t="s">
        <v>129</v>
      </c>
      <c r="I8" s="1" t="s">
        <v>614</v>
      </c>
      <c r="J8" s="1" t="s">
        <v>131</v>
      </c>
      <c r="K8" s="1">
        <v>21000</v>
      </c>
      <c r="L8" s="2">
        <v>810895675</v>
      </c>
      <c r="M8" s="4" t="s">
        <v>28</v>
      </c>
    </row>
    <row r="9" spans="1:13" x14ac:dyDescent="0.35">
      <c r="A9" s="1">
        <v>7</v>
      </c>
      <c r="B9" s="1" t="s">
        <v>280</v>
      </c>
      <c r="C9" s="1" t="s">
        <v>140</v>
      </c>
      <c r="D9" s="9"/>
      <c r="E9" s="6" t="s">
        <v>141</v>
      </c>
      <c r="F9" s="1">
        <v>3</v>
      </c>
      <c r="H9" s="1" t="s">
        <v>142</v>
      </c>
      <c r="I9" s="1" t="s">
        <v>26</v>
      </c>
      <c r="J9" s="1" t="s">
        <v>27</v>
      </c>
      <c r="K9" s="1">
        <v>20130</v>
      </c>
      <c r="L9" s="2">
        <v>945454265</v>
      </c>
      <c r="M9" s="4" t="s">
        <v>28</v>
      </c>
    </row>
    <row r="10" spans="1:13" x14ac:dyDescent="0.35">
      <c r="A10" s="1">
        <v>8</v>
      </c>
      <c r="B10" s="1" t="s">
        <v>281</v>
      </c>
      <c r="C10" s="1" t="s">
        <v>188</v>
      </c>
      <c r="D10" s="9"/>
      <c r="E10" s="6" t="s">
        <v>189</v>
      </c>
      <c r="F10" s="1">
        <v>2</v>
      </c>
      <c r="H10" s="1" t="s">
        <v>25</v>
      </c>
      <c r="I10" s="1" t="s">
        <v>26</v>
      </c>
      <c r="J10" s="1" t="s">
        <v>27</v>
      </c>
      <c r="K10" s="1">
        <v>20000</v>
      </c>
      <c r="M10" s="4" t="s">
        <v>28</v>
      </c>
    </row>
    <row r="11" spans="1:13" x14ac:dyDescent="0.35">
      <c r="A11" s="1">
        <v>9</v>
      </c>
      <c r="B11" s="1" t="s">
        <v>282</v>
      </c>
      <c r="C11" s="1" t="s">
        <v>190</v>
      </c>
      <c r="D11" s="9"/>
      <c r="E11" s="6" t="s">
        <v>191</v>
      </c>
      <c r="F11" s="1">
        <v>12</v>
      </c>
      <c r="H11" s="1" t="s">
        <v>25</v>
      </c>
      <c r="I11" s="1" t="s">
        <v>26</v>
      </c>
      <c r="J11" s="1" t="s">
        <v>27</v>
      </c>
      <c r="K11" s="1">
        <v>20000</v>
      </c>
      <c r="L11" s="2">
        <v>861513277</v>
      </c>
      <c r="M11" s="4" t="s">
        <v>28</v>
      </c>
    </row>
    <row r="12" spans="1:13" x14ac:dyDescent="0.35">
      <c r="A12" s="1">
        <v>10</v>
      </c>
      <c r="B12" s="1" t="s">
        <v>276</v>
      </c>
      <c r="C12" s="1" t="s">
        <v>216</v>
      </c>
      <c r="D12" s="9"/>
      <c r="E12" s="6">
        <v>115</v>
      </c>
      <c r="F12" s="1">
        <v>8</v>
      </c>
      <c r="G12" s="1" t="s">
        <v>217</v>
      </c>
      <c r="H12" s="1" t="s">
        <v>218</v>
      </c>
      <c r="I12" s="1" t="s">
        <v>219</v>
      </c>
      <c r="J12" s="1" t="s">
        <v>220</v>
      </c>
      <c r="K12" s="1">
        <v>34310</v>
      </c>
      <c r="L12" s="2">
        <v>932825616</v>
      </c>
      <c r="M12" s="4" t="s">
        <v>28</v>
      </c>
    </row>
    <row r="13" spans="1:13" x14ac:dyDescent="0.35">
      <c r="A13" s="1">
        <v>11</v>
      </c>
      <c r="B13" s="1" t="s">
        <v>276</v>
      </c>
      <c r="C13" s="1" t="s">
        <v>221</v>
      </c>
      <c r="D13" s="9"/>
      <c r="E13" s="6">
        <v>108</v>
      </c>
      <c r="F13" s="1">
        <v>4</v>
      </c>
      <c r="H13" s="1" t="s">
        <v>222</v>
      </c>
      <c r="I13" s="1" t="s">
        <v>223</v>
      </c>
      <c r="J13" s="1" t="s">
        <v>27</v>
      </c>
      <c r="K13" s="1">
        <v>20170</v>
      </c>
      <c r="L13" s="2">
        <v>876140254</v>
      </c>
      <c r="M13" s="4" t="s">
        <v>28</v>
      </c>
    </row>
    <row r="14" spans="1:13" x14ac:dyDescent="0.35">
      <c r="A14" s="1">
        <v>12</v>
      </c>
      <c r="B14" s="1" t="s">
        <v>276</v>
      </c>
      <c r="C14" s="1" t="s">
        <v>224</v>
      </c>
      <c r="D14" s="9"/>
      <c r="E14" s="6" t="s">
        <v>225</v>
      </c>
      <c r="F14" s="1">
        <v>1</v>
      </c>
      <c r="H14" s="1" t="s">
        <v>166</v>
      </c>
      <c r="I14" s="1" t="s">
        <v>26</v>
      </c>
      <c r="J14" s="1" t="s">
        <v>27</v>
      </c>
      <c r="K14" s="1">
        <v>20000</v>
      </c>
      <c r="L14" s="2">
        <v>624655293</v>
      </c>
      <c r="M14" s="4" t="s">
        <v>28</v>
      </c>
    </row>
    <row r="15" spans="1:13" x14ac:dyDescent="0.35">
      <c r="A15" s="1">
        <v>13</v>
      </c>
      <c r="B15" s="1" t="s">
        <v>276</v>
      </c>
      <c r="C15" s="1" t="s">
        <v>226</v>
      </c>
      <c r="D15" s="9"/>
      <c r="E15" s="6">
        <v>297</v>
      </c>
      <c r="F15" s="1">
        <v>1</v>
      </c>
      <c r="H15" s="1" t="s">
        <v>227</v>
      </c>
      <c r="I15" s="1" t="s">
        <v>223</v>
      </c>
      <c r="J15" s="1" t="s">
        <v>27</v>
      </c>
      <c r="K15" s="1">
        <v>20220</v>
      </c>
      <c r="L15" s="2">
        <v>625195361</v>
      </c>
      <c r="M15" s="4" t="s">
        <v>28</v>
      </c>
    </row>
    <row r="16" spans="1:13" x14ac:dyDescent="0.35">
      <c r="A16" s="1">
        <v>14</v>
      </c>
      <c r="B16" s="1" t="s">
        <v>276</v>
      </c>
      <c r="C16" s="1" t="s">
        <v>259</v>
      </c>
      <c r="D16" s="9"/>
      <c r="E16" s="6">
        <v>15</v>
      </c>
      <c r="F16" s="1">
        <v>16</v>
      </c>
      <c r="H16" s="1" t="s">
        <v>260</v>
      </c>
      <c r="I16" s="1" t="s">
        <v>261</v>
      </c>
      <c r="J16" s="1" t="s">
        <v>238</v>
      </c>
      <c r="M16" s="4" t="s">
        <v>28</v>
      </c>
    </row>
    <row r="17" spans="1:13" x14ac:dyDescent="0.35">
      <c r="A17" s="1">
        <v>15</v>
      </c>
      <c r="B17" s="1" t="s">
        <v>284</v>
      </c>
      <c r="C17" s="1" t="s">
        <v>283</v>
      </c>
      <c r="D17" s="9">
        <v>3520100204465</v>
      </c>
      <c r="L17" s="2">
        <v>984946391</v>
      </c>
      <c r="M17" s="4" t="s">
        <v>28</v>
      </c>
    </row>
    <row r="18" spans="1:13" x14ac:dyDescent="0.35">
      <c r="A18" s="1">
        <v>16</v>
      </c>
      <c r="B18" s="1" t="s">
        <v>491</v>
      </c>
      <c r="C18" s="1" t="s">
        <v>490</v>
      </c>
      <c r="D18" s="9">
        <v>3101202192070</v>
      </c>
      <c r="E18" s="61" t="s">
        <v>538</v>
      </c>
      <c r="F18" s="1">
        <v>6</v>
      </c>
      <c r="H18" s="1" t="s">
        <v>539</v>
      </c>
      <c r="I18" s="1" t="s">
        <v>540</v>
      </c>
      <c r="J18" s="1" t="s">
        <v>40</v>
      </c>
      <c r="K18" s="1">
        <v>10540</v>
      </c>
      <c r="L18" s="2">
        <v>818090367</v>
      </c>
      <c r="M18" s="4" t="s">
        <v>28</v>
      </c>
    </row>
    <row r="19" spans="1:13" x14ac:dyDescent="0.35">
      <c r="A19" s="1">
        <v>17</v>
      </c>
      <c r="B19" s="1" t="s">
        <v>550</v>
      </c>
      <c r="C19" s="1" t="s">
        <v>549</v>
      </c>
      <c r="D19" s="9">
        <v>3720200533281</v>
      </c>
      <c r="E19" s="6" t="s">
        <v>609</v>
      </c>
      <c r="F19" s="1">
        <v>6</v>
      </c>
      <c r="H19" s="1" t="s">
        <v>610</v>
      </c>
      <c r="I19" s="1" t="s">
        <v>612</v>
      </c>
      <c r="J19" s="1" t="s">
        <v>611</v>
      </c>
      <c r="K19" s="1">
        <v>73000</v>
      </c>
      <c r="L19" s="2">
        <v>911197080</v>
      </c>
      <c r="M19" s="4" t="s">
        <v>28</v>
      </c>
    </row>
    <row r="20" spans="1:13" x14ac:dyDescent="0.35">
      <c r="A20" s="1">
        <v>18</v>
      </c>
      <c r="B20" s="1" t="s">
        <v>568</v>
      </c>
      <c r="C20" s="1" t="s">
        <v>567</v>
      </c>
      <c r="D20" s="9">
        <v>3329900218789</v>
      </c>
      <c r="E20" s="6">
        <v>83</v>
      </c>
      <c r="G20" s="1" t="s">
        <v>569</v>
      </c>
      <c r="H20" s="1" t="s">
        <v>570</v>
      </c>
      <c r="I20" s="1" t="s">
        <v>613</v>
      </c>
      <c r="J20" s="1" t="s">
        <v>151</v>
      </c>
      <c r="M20" s="4" t="s">
        <v>28</v>
      </c>
    </row>
    <row r="21" spans="1:13" x14ac:dyDescent="0.35">
      <c r="A21" s="1">
        <v>19</v>
      </c>
      <c r="B21" s="1" t="s">
        <v>571</v>
      </c>
      <c r="C21" s="1" t="s">
        <v>572</v>
      </c>
      <c r="D21" s="9">
        <v>3100602634117</v>
      </c>
      <c r="E21" s="6" t="s">
        <v>584</v>
      </c>
      <c r="G21" s="1" t="s">
        <v>573</v>
      </c>
      <c r="H21" s="1" t="s">
        <v>574</v>
      </c>
      <c r="I21" s="1" t="s">
        <v>80</v>
      </c>
      <c r="J21" s="1" t="s">
        <v>81</v>
      </c>
      <c r="K21" s="1">
        <v>11000</v>
      </c>
      <c r="L21" s="2">
        <v>818423565</v>
      </c>
      <c r="M21" s="4" t="s">
        <v>28</v>
      </c>
    </row>
    <row r="22" spans="1:13" x14ac:dyDescent="0.35">
      <c r="A22" s="1">
        <v>20</v>
      </c>
      <c r="B22" s="1" t="s">
        <v>579</v>
      </c>
      <c r="C22" s="1" t="s">
        <v>586</v>
      </c>
      <c r="D22" s="9">
        <v>3200100465164</v>
      </c>
      <c r="E22" s="6" t="s">
        <v>594</v>
      </c>
      <c r="F22" s="1">
        <v>2</v>
      </c>
      <c r="G22" s="1" t="s">
        <v>596</v>
      </c>
      <c r="H22" s="1" t="s">
        <v>595</v>
      </c>
      <c r="I22" s="1" t="s">
        <v>26</v>
      </c>
      <c r="J22" s="1" t="s">
        <v>27</v>
      </c>
      <c r="K22" s="1">
        <v>20000</v>
      </c>
      <c r="L22" s="2">
        <v>616966515</v>
      </c>
      <c r="M22" s="4" t="s">
        <v>28</v>
      </c>
    </row>
    <row r="23" spans="1:13" x14ac:dyDescent="0.35">
      <c r="A23" s="1">
        <v>21</v>
      </c>
      <c r="B23" s="1" t="s">
        <v>588</v>
      </c>
      <c r="C23" s="1" t="s">
        <v>587</v>
      </c>
      <c r="D23" s="9">
        <v>3200100500954</v>
      </c>
      <c r="E23" s="6" t="s">
        <v>597</v>
      </c>
      <c r="F23" s="1">
        <v>2</v>
      </c>
      <c r="H23" s="1" t="s">
        <v>598</v>
      </c>
      <c r="I23" s="1" t="s">
        <v>26</v>
      </c>
      <c r="J23" s="1" t="s">
        <v>27</v>
      </c>
      <c r="K23" s="1">
        <v>20000</v>
      </c>
      <c r="L23" s="2">
        <v>877491584</v>
      </c>
      <c r="M23" s="4" t="s">
        <v>28</v>
      </c>
    </row>
    <row r="24" spans="1:13" x14ac:dyDescent="0.35">
      <c r="A24" s="1">
        <v>22</v>
      </c>
      <c r="B24" s="1" t="s">
        <v>588</v>
      </c>
      <c r="C24" s="1" t="s">
        <v>589</v>
      </c>
      <c r="D24" s="9">
        <v>1200100384401</v>
      </c>
      <c r="E24" s="6" t="s">
        <v>695</v>
      </c>
      <c r="F24" s="1">
        <v>1</v>
      </c>
      <c r="H24" s="1" t="s">
        <v>244</v>
      </c>
      <c r="I24" s="1" t="s">
        <v>245</v>
      </c>
      <c r="J24" s="1" t="s">
        <v>27</v>
      </c>
      <c r="K24" s="1">
        <v>20160</v>
      </c>
      <c r="L24" s="2">
        <v>837818726</v>
      </c>
      <c r="M24" s="4" t="s">
        <v>28</v>
      </c>
    </row>
    <row r="25" spans="1:13" x14ac:dyDescent="0.35">
      <c r="A25" s="1">
        <v>23</v>
      </c>
      <c r="B25" s="1" t="s">
        <v>583</v>
      </c>
      <c r="C25" s="1" t="s">
        <v>590</v>
      </c>
      <c r="D25" s="9">
        <v>3501300694912</v>
      </c>
      <c r="E25" s="6" t="s">
        <v>599</v>
      </c>
      <c r="F25" s="1">
        <v>4</v>
      </c>
      <c r="H25" s="1" t="s">
        <v>595</v>
      </c>
      <c r="I25" s="1" t="s">
        <v>26</v>
      </c>
      <c r="J25" s="1" t="s">
        <v>27</v>
      </c>
      <c r="K25" s="1">
        <v>20000</v>
      </c>
      <c r="L25" s="2">
        <v>891515299</v>
      </c>
      <c r="M25" s="4" t="s">
        <v>28</v>
      </c>
    </row>
    <row r="26" spans="1:13" x14ac:dyDescent="0.35">
      <c r="A26" s="1">
        <v>24</v>
      </c>
      <c r="B26" s="1" t="s">
        <v>591</v>
      </c>
      <c r="C26" s="1" t="s">
        <v>680</v>
      </c>
      <c r="D26" s="9">
        <v>3200600072528</v>
      </c>
      <c r="E26" s="6" t="s">
        <v>678</v>
      </c>
      <c r="F26" s="1">
        <v>3</v>
      </c>
      <c r="H26" s="1" t="s">
        <v>679</v>
      </c>
      <c r="I26" s="1" t="s">
        <v>258</v>
      </c>
      <c r="J26" s="1" t="s">
        <v>27</v>
      </c>
      <c r="K26" s="1">
        <v>20140</v>
      </c>
      <c r="L26" s="2">
        <v>902995446</v>
      </c>
      <c r="M26" s="4" t="s">
        <v>28</v>
      </c>
    </row>
    <row r="27" spans="1:13" x14ac:dyDescent="0.35">
      <c r="A27" s="1">
        <v>25</v>
      </c>
      <c r="B27" s="1" t="s">
        <v>643</v>
      </c>
      <c r="C27" s="1" t="s">
        <v>642</v>
      </c>
      <c r="D27" s="9">
        <v>1659902035623</v>
      </c>
      <c r="E27" s="6" t="s">
        <v>644</v>
      </c>
      <c r="F27" s="1">
        <v>8</v>
      </c>
      <c r="H27" s="1" t="s">
        <v>645</v>
      </c>
      <c r="I27" s="1" t="s">
        <v>646</v>
      </c>
      <c r="J27" s="1" t="s">
        <v>647</v>
      </c>
      <c r="K27" s="1">
        <v>65000</v>
      </c>
      <c r="L27" s="2">
        <v>987492543</v>
      </c>
    </row>
    <row r="28" spans="1:13" x14ac:dyDescent="0.35">
      <c r="A28" s="1">
        <v>26</v>
      </c>
      <c r="B28" s="1" t="s">
        <v>675</v>
      </c>
      <c r="C28" s="1" t="s">
        <v>667</v>
      </c>
      <c r="D28" s="9">
        <v>3240700081421</v>
      </c>
      <c r="E28" s="6" t="s">
        <v>668</v>
      </c>
      <c r="F28" s="1">
        <v>1</v>
      </c>
      <c r="H28" s="1" t="s">
        <v>35</v>
      </c>
      <c r="I28" s="1" t="s">
        <v>26</v>
      </c>
      <c r="J28" s="1" t="s">
        <v>27</v>
      </c>
      <c r="K28" s="1">
        <v>20000</v>
      </c>
      <c r="L28" s="2">
        <v>868261811</v>
      </c>
    </row>
    <row r="29" spans="1:13" x14ac:dyDescent="0.35">
      <c r="A29" s="1">
        <v>27</v>
      </c>
      <c r="B29" s="1" t="s">
        <v>675</v>
      </c>
      <c r="C29" s="1" t="s">
        <v>669</v>
      </c>
      <c r="D29" s="9">
        <v>3210200159944</v>
      </c>
      <c r="E29" s="6" t="s">
        <v>670</v>
      </c>
      <c r="F29" s="1">
        <v>3</v>
      </c>
      <c r="H29" s="1" t="s">
        <v>671</v>
      </c>
      <c r="I29" s="1" t="s">
        <v>672</v>
      </c>
      <c r="J29" s="1" t="s">
        <v>131</v>
      </c>
      <c r="K29" s="1">
        <v>21130</v>
      </c>
      <c r="L29" s="2">
        <v>879928940</v>
      </c>
    </row>
    <row r="30" spans="1:13" x14ac:dyDescent="0.35">
      <c r="A30" s="1">
        <v>28</v>
      </c>
      <c r="B30" s="1" t="s">
        <v>673</v>
      </c>
      <c r="C30" s="1" t="s">
        <v>674</v>
      </c>
      <c r="D30" s="9">
        <v>3200700775199</v>
      </c>
      <c r="E30" s="6" t="s">
        <v>676</v>
      </c>
      <c r="F30" s="1">
        <v>5</v>
      </c>
      <c r="H30" s="1" t="s">
        <v>677</v>
      </c>
      <c r="I30" s="1" t="s">
        <v>26</v>
      </c>
      <c r="J30" s="1" t="s">
        <v>27</v>
      </c>
      <c r="K30" s="1">
        <v>20000</v>
      </c>
      <c r="L30" s="2">
        <v>946595145</v>
      </c>
    </row>
    <row r="31" spans="1:13" x14ac:dyDescent="0.35">
      <c r="A31" s="1">
        <v>29</v>
      </c>
      <c r="B31" s="1" t="s">
        <v>688</v>
      </c>
      <c r="C31" s="1" t="s">
        <v>684</v>
      </c>
      <c r="D31" s="9">
        <v>3840200427536</v>
      </c>
      <c r="E31" s="6" t="s">
        <v>685</v>
      </c>
      <c r="F31" s="1">
        <v>10</v>
      </c>
      <c r="H31" s="1" t="s">
        <v>686</v>
      </c>
      <c r="I31" s="1" t="s">
        <v>687</v>
      </c>
      <c r="J31" s="1" t="s">
        <v>64</v>
      </c>
      <c r="K31" s="1">
        <v>10530</v>
      </c>
      <c r="L31" s="2">
        <v>638484391</v>
      </c>
    </row>
    <row r="32" spans="1:13" x14ac:dyDescent="0.35">
      <c r="A32" s="1">
        <v>30</v>
      </c>
      <c r="B32" s="1" t="s">
        <v>691</v>
      </c>
      <c r="C32" s="1" t="s">
        <v>689</v>
      </c>
      <c r="D32" s="9">
        <v>1100700146528</v>
      </c>
      <c r="E32" s="6" t="s">
        <v>690</v>
      </c>
      <c r="F32" s="1">
        <v>10</v>
      </c>
      <c r="H32" s="1" t="s">
        <v>686</v>
      </c>
      <c r="I32" s="1" t="s">
        <v>687</v>
      </c>
      <c r="J32" s="1" t="s">
        <v>64</v>
      </c>
      <c r="K32" s="1">
        <v>10350</v>
      </c>
      <c r="L32" s="2">
        <v>867444723</v>
      </c>
    </row>
    <row r="33" spans="1:12" x14ac:dyDescent="0.35">
      <c r="A33" s="1">
        <v>31</v>
      </c>
      <c r="B33" s="1" t="s">
        <v>693</v>
      </c>
      <c r="C33" s="1" t="s">
        <v>692</v>
      </c>
      <c r="D33" s="9">
        <v>3101403139486</v>
      </c>
      <c r="F33" s="1" t="s">
        <v>470</v>
      </c>
      <c r="H33" s="1" t="s">
        <v>470</v>
      </c>
      <c r="I33" s="1" t="s">
        <v>470</v>
      </c>
      <c r="J33" s="1" t="s">
        <v>470</v>
      </c>
      <c r="K33" s="1" t="s">
        <v>470</v>
      </c>
      <c r="L33" s="2" t="s">
        <v>470</v>
      </c>
    </row>
    <row r="34" spans="1:12" x14ac:dyDescent="0.35">
      <c r="A34" s="1">
        <v>32</v>
      </c>
      <c r="B34" s="1" t="s">
        <v>697</v>
      </c>
      <c r="C34" s="1" t="s">
        <v>698</v>
      </c>
      <c r="D34" s="9">
        <v>4102400013197</v>
      </c>
      <c r="E34" s="6" t="s">
        <v>699</v>
      </c>
      <c r="F34" s="1">
        <v>3</v>
      </c>
      <c r="H34" s="1" t="s">
        <v>54</v>
      </c>
      <c r="I34" s="1" t="s">
        <v>26</v>
      </c>
      <c r="J34" s="1" t="s">
        <v>27</v>
      </c>
      <c r="K34" s="1">
        <v>20000</v>
      </c>
      <c r="L34" s="2">
        <v>853192463</v>
      </c>
    </row>
    <row r="35" spans="1:12" x14ac:dyDescent="0.35">
      <c r="A35" s="1">
        <v>33</v>
      </c>
      <c r="B35" s="1" t="s">
        <v>697</v>
      </c>
      <c r="C35" s="1" t="s">
        <v>700</v>
      </c>
      <c r="D35" s="9">
        <v>3400300221194</v>
      </c>
      <c r="E35" s="6" t="s">
        <v>701</v>
      </c>
      <c r="F35" s="1">
        <v>4</v>
      </c>
      <c r="H35" s="1" t="s">
        <v>142</v>
      </c>
      <c r="I35" s="1" t="s">
        <v>26</v>
      </c>
      <c r="J35" s="1" t="s">
        <v>27</v>
      </c>
      <c r="K35" s="1">
        <v>20130</v>
      </c>
      <c r="L35" s="2">
        <v>871476012</v>
      </c>
    </row>
    <row r="36" spans="1:12" x14ac:dyDescent="0.35">
      <c r="A36" s="1">
        <v>34</v>
      </c>
      <c r="B36" s="1" t="s">
        <v>697</v>
      </c>
      <c r="C36" s="1" t="s">
        <v>705</v>
      </c>
      <c r="D36" s="9">
        <v>3220400416223</v>
      </c>
      <c r="E36" s="6" t="s">
        <v>706</v>
      </c>
      <c r="F36" s="1">
        <v>8</v>
      </c>
      <c r="G36" s="1" t="s">
        <v>707</v>
      </c>
      <c r="H36" s="1" t="s">
        <v>708</v>
      </c>
      <c r="I36" s="1" t="s">
        <v>709</v>
      </c>
      <c r="J36" s="1" t="s">
        <v>710</v>
      </c>
      <c r="K36" s="1">
        <v>22000</v>
      </c>
      <c r="L36" s="2">
        <v>871344981</v>
      </c>
    </row>
    <row r="37" spans="1:12" x14ac:dyDescent="0.35">
      <c r="A37" s="1">
        <v>35</v>
      </c>
      <c r="B37" s="1" t="s">
        <v>665</v>
      </c>
      <c r="C37" s="1" t="s">
        <v>712</v>
      </c>
      <c r="D37" s="9">
        <v>3730600270619</v>
      </c>
      <c r="E37" s="6" t="s">
        <v>726</v>
      </c>
      <c r="F37" s="1">
        <v>4</v>
      </c>
      <c r="H37" s="1" t="s">
        <v>727</v>
      </c>
      <c r="I37" s="1" t="s">
        <v>728</v>
      </c>
      <c r="J37" s="1" t="s">
        <v>729</v>
      </c>
      <c r="K37" s="1">
        <v>74110</v>
      </c>
      <c r="L37" s="2">
        <v>989569916</v>
      </c>
    </row>
    <row r="38" spans="1:12" x14ac:dyDescent="0.35">
      <c r="A38" s="1">
        <v>36</v>
      </c>
      <c r="B38" s="1" t="s">
        <v>665</v>
      </c>
      <c r="C38" s="1" t="s">
        <v>713</v>
      </c>
      <c r="D38" s="9">
        <v>1829900111274</v>
      </c>
      <c r="E38" s="6" t="s">
        <v>735</v>
      </c>
      <c r="G38" s="1" t="s">
        <v>145</v>
      </c>
      <c r="H38" s="1" t="s">
        <v>736</v>
      </c>
      <c r="I38" s="1" t="s">
        <v>736</v>
      </c>
      <c r="J38" s="1" t="s">
        <v>64</v>
      </c>
      <c r="K38" s="1">
        <v>10700</v>
      </c>
      <c r="L38" s="2">
        <v>875759415</v>
      </c>
    </row>
    <row r="39" spans="1:12" x14ac:dyDescent="0.35">
      <c r="A39" s="1">
        <v>37</v>
      </c>
      <c r="B39" s="1" t="s">
        <v>665</v>
      </c>
      <c r="C39" s="1" t="s">
        <v>730</v>
      </c>
      <c r="D39" s="9">
        <v>4101600009672</v>
      </c>
      <c r="E39" s="6" t="s">
        <v>731</v>
      </c>
      <c r="G39" s="1" t="s">
        <v>732</v>
      </c>
      <c r="H39" s="1" t="s">
        <v>734</v>
      </c>
      <c r="I39" s="1" t="s">
        <v>733</v>
      </c>
      <c r="J39" s="1" t="s">
        <v>64</v>
      </c>
      <c r="K39" s="1">
        <v>10170</v>
      </c>
      <c r="L39" s="2">
        <v>866660188</v>
      </c>
    </row>
    <row r="40" spans="1:12" x14ac:dyDescent="0.35">
      <c r="A40" s="1">
        <v>38</v>
      </c>
      <c r="B40" s="1" t="s">
        <v>665</v>
      </c>
      <c r="C40" s="1" t="s">
        <v>715</v>
      </c>
      <c r="D40" s="9">
        <v>3730300839993</v>
      </c>
      <c r="L40" s="2">
        <v>841308899</v>
      </c>
    </row>
    <row r="41" spans="1:12" x14ac:dyDescent="0.35">
      <c r="A41" s="1">
        <v>39</v>
      </c>
      <c r="B41" s="1" t="s">
        <v>719</v>
      </c>
      <c r="C41" s="1" t="s">
        <v>718</v>
      </c>
      <c r="D41" s="9">
        <v>1100700486213</v>
      </c>
      <c r="E41" s="6" t="s">
        <v>764</v>
      </c>
      <c r="F41" s="1">
        <v>3</v>
      </c>
      <c r="H41" s="1" t="s">
        <v>765</v>
      </c>
      <c r="I41" s="1" t="s">
        <v>484</v>
      </c>
      <c r="J41" s="1" t="s">
        <v>27</v>
      </c>
      <c r="K41" s="1">
        <v>20150</v>
      </c>
      <c r="L41" s="2">
        <v>880890166</v>
      </c>
    </row>
    <row r="42" spans="1:12" x14ac:dyDescent="0.35">
      <c r="A42" s="1">
        <v>40</v>
      </c>
      <c r="B42" s="1" t="s">
        <v>719</v>
      </c>
      <c r="C42" s="1" t="s">
        <v>720</v>
      </c>
      <c r="D42" s="9">
        <v>1160100285811</v>
      </c>
      <c r="E42" s="6" t="s">
        <v>721</v>
      </c>
      <c r="F42" s="1">
        <v>7</v>
      </c>
      <c r="H42" s="1" t="s">
        <v>722</v>
      </c>
      <c r="I42" s="1" t="s">
        <v>199</v>
      </c>
      <c r="J42" s="1" t="s">
        <v>200</v>
      </c>
      <c r="K42" s="1">
        <v>15000</v>
      </c>
      <c r="L42" s="2">
        <v>642351369</v>
      </c>
    </row>
    <row r="43" spans="1:12" x14ac:dyDescent="0.35">
      <c r="A43" s="1">
        <v>41</v>
      </c>
      <c r="B43" s="1" t="s">
        <v>719</v>
      </c>
      <c r="C43" s="1" t="s">
        <v>723</v>
      </c>
      <c r="D43" s="9">
        <v>1209701755711</v>
      </c>
      <c r="E43" s="6" t="s">
        <v>724</v>
      </c>
      <c r="F43" s="1">
        <v>5</v>
      </c>
      <c r="H43" s="1" t="s">
        <v>725</v>
      </c>
      <c r="I43" s="1" t="s">
        <v>98</v>
      </c>
      <c r="J43" s="1" t="s">
        <v>27</v>
      </c>
      <c r="K43" s="1">
        <v>20110</v>
      </c>
      <c r="L43" s="2">
        <v>623316446</v>
      </c>
    </row>
    <row r="44" spans="1:12" x14ac:dyDescent="0.35">
      <c r="A44" s="1">
        <v>42</v>
      </c>
      <c r="B44" s="1" t="s">
        <v>745</v>
      </c>
      <c r="C44" s="1" t="s">
        <v>741</v>
      </c>
      <c r="D44" s="9">
        <v>3100601129532</v>
      </c>
      <c r="E44" s="9" t="s">
        <v>742</v>
      </c>
      <c r="F44" s="6">
        <v>6</v>
      </c>
      <c r="G44" s="1" t="s">
        <v>743</v>
      </c>
      <c r="H44" s="1" t="s">
        <v>744</v>
      </c>
      <c r="I44" s="1" t="s">
        <v>258</v>
      </c>
      <c r="J44" s="1" t="s">
        <v>27</v>
      </c>
      <c r="K44" s="1">
        <v>20140</v>
      </c>
      <c r="L44" s="2">
        <v>891205897</v>
      </c>
    </row>
    <row r="45" spans="1:12" x14ac:dyDescent="0.35">
      <c r="A45" s="1">
        <v>43</v>
      </c>
      <c r="B45" s="1" t="s">
        <v>747</v>
      </c>
      <c r="C45" s="1" t="s">
        <v>746</v>
      </c>
      <c r="D45" s="9">
        <v>3200700363371</v>
      </c>
      <c r="E45" s="6" t="s">
        <v>748</v>
      </c>
      <c r="F45" s="6" t="s">
        <v>749</v>
      </c>
      <c r="H45" s="1" t="s">
        <v>97</v>
      </c>
      <c r="I45" s="1" t="s">
        <v>98</v>
      </c>
      <c r="J45" s="1" t="s">
        <v>27</v>
      </c>
      <c r="K45" s="1">
        <v>20230</v>
      </c>
      <c r="L45" s="2">
        <v>871389354</v>
      </c>
    </row>
    <row r="46" spans="1:12" x14ac:dyDescent="0.35">
      <c r="A46" s="1">
        <v>44</v>
      </c>
      <c r="B46" s="1" t="s">
        <v>753</v>
      </c>
      <c r="C46" s="1" t="s">
        <v>754</v>
      </c>
      <c r="D46" s="9">
        <v>3120100158653</v>
      </c>
      <c r="E46" s="6" t="s">
        <v>756</v>
      </c>
      <c r="F46" s="6" t="s">
        <v>755</v>
      </c>
      <c r="H46" s="1" t="s">
        <v>757</v>
      </c>
      <c r="I46" s="1" t="s">
        <v>80</v>
      </c>
      <c r="J46" s="1" t="s">
        <v>81</v>
      </c>
      <c r="K46" s="1">
        <v>11000</v>
      </c>
      <c r="L46" s="2">
        <v>860610505</v>
      </c>
    </row>
    <row r="47" spans="1:12" x14ac:dyDescent="0.35">
      <c r="A47" s="1">
        <v>45</v>
      </c>
      <c r="B47" s="1" t="s">
        <v>761</v>
      </c>
      <c r="C47" s="1" t="s">
        <v>760</v>
      </c>
      <c r="D47" s="9">
        <v>3200601124378</v>
      </c>
      <c r="E47" s="6" t="s">
        <v>795</v>
      </c>
      <c r="F47" s="1">
        <v>4</v>
      </c>
      <c r="G47" s="1" t="s">
        <v>798</v>
      </c>
      <c r="H47" s="1" t="s">
        <v>796</v>
      </c>
      <c r="I47" s="1" t="s">
        <v>797</v>
      </c>
      <c r="J47" s="1" t="s">
        <v>27</v>
      </c>
      <c r="K47" s="1">
        <v>20270</v>
      </c>
      <c r="L47" s="2">
        <v>971409301</v>
      </c>
    </row>
    <row r="48" spans="1:12" x14ac:dyDescent="0.35">
      <c r="A48" s="1">
        <v>46</v>
      </c>
      <c r="B48" s="1" t="s">
        <v>766</v>
      </c>
      <c r="C48" s="1" t="s">
        <v>767</v>
      </c>
      <c r="D48" s="9">
        <v>1100701985183</v>
      </c>
      <c r="E48" s="6" t="s">
        <v>768</v>
      </c>
      <c r="F48" s="1">
        <v>4</v>
      </c>
      <c r="G48" s="1" t="s">
        <v>769</v>
      </c>
      <c r="H48" s="1" t="s">
        <v>770</v>
      </c>
      <c r="I48" s="1" t="s">
        <v>258</v>
      </c>
      <c r="J48" s="1" t="s">
        <v>27</v>
      </c>
      <c r="K48" s="1">
        <v>20140</v>
      </c>
      <c r="L48" s="2">
        <v>972906535</v>
      </c>
    </row>
    <row r="49" spans="1:12" x14ac:dyDescent="0.35">
      <c r="A49" s="1">
        <v>47</v>
      </c>
      <c r="B49" s="1" t="s">
        <v>789</v>
      </c>
      <c r="C49" s="1" t="s">
        <v>788</v>
      </c>
      <c r="D49" s="9">
        <v>1189900075291</v>
      </c>
      <c r="E49" s="6" t="s">
        <v>790</v>
      </c>
      <c r="F49" s="1">
        <v>3</v>
      </c>
      <c r="H49" s="1" t="s">
        <v>117</v>
      </c>
      <c r="I49" s="1" t="s">
        <v>117</v>
      </c>
      <c r="J49" s="1" t="s">
        <v>118</v>
      </c>
      <c r="K49" s="1">
        <v>17130</v>
      </c>
      <c r="L49" s="2">
        <v>850766125</v>
      </c>
    </row>
    <row r="50" spans="1:12" x14ac:dyDescent="0.35">
      <c r="A50" s="1">
        <v>48</v>
      </c>
      <c r="B50" s="1" t="s">
        <v>281</v>
      </c>
      <c r="C50" s="1" t="s">
        <v>792</v>
      </c>
      <c r="D50" s="9">
        <v>1200100501440</v>
      </c>
      <c r="E50" s="6" t="s">
        <v>793</v>
      </c>
      <c r="F50" s="1">
        <v>9</v>
      </c>
      <c r="H50" s="1" t="s">
        <v>25</v>
      </c>
      <c r="I50" s="1" t="s">
        <v>26</v>
      </c>
      <c r="J50" s="1" t="s">
        <v>27</v>
      </c>
      <c r="K50" s="1">
        <v>20000</v>
      </c>
      <c r="L50" s="2">
        <v>952949266</v>
      </c>
    </row>
    <row r="51" spans="1:12" x14ac:dyDescent="0.35">
      <c r="A51" s="1">
        <v>49</v>
      </c>
      <c r="B51" s="1" t="s">
        <v>800</v>
      </c>
      <c r="C51" s="1" t="s">
        <v>799</v>
      </c>
      <c r="D51" s="9">
        <v>1103701129956</v>
      </c>
      <c r="E51" s="6" t="s">
        <v>848</v>
      </c>
      <c r="F51" s="1">
        <v>2</v>
      </c>
      <c r="G51" s="1" t="s">
        <v>849</v>
      </c>
      <c r="H51" s="1" t="s">
        <v>850</v>
      </c>
      <c r="I51" s="1" t="s">
        <v>113</v>
      </c>
      <c r="J51" s="1" t="s">
        <v>40</v>
      </c>
      <c r="K51" s="1">
        <v>10290</v>
      </c>
      <c r="L51" s="2">
        <v>823424267</v>
      </c>
    </row>
    <row r="52" spans="1:12" x14ac:dyDescent="0.35">
      <c r="A52" s="1">
        <v>50</v>
      </c>
      <c r="B52" s="1" t="s">
        <v>804</v>
      </c>
      <c r="C52" s="1" t="s">
        <v>681</v>
      </c>
      <c r="D52" s="9">
        <v>3900900295895</v>
      </c>
      <c r="E52" s="6" t="s">
        <v>803</v>
      </c>
      <c r="F52" s="1">
        <v>2</v>
      </c>
      <c r="H52" s="1" t="s">
        <v>801</v>
      </c>
      <c r="I52" s="1" t="s">
        <v>802</v>
      </c>
      <c r="J52" s="1" t="s">
        <v>64</v>
      </c>
      <c r="L52" s="2">
        <v>864796866</v>
      </c>
    </row>
    <row r="53" spans="1:12" x14ac:dyDescent="0.35">
      <c r="A53" s="1">
        <v>51</v>
      </c>
      <c r="B53" s="1" t="s">
        <v>805</v>
      </c>
      <c r="C53" s="1" t="s">
        <v>806</v>
      </c>
      <c r="D53" s="9">
        <v>5720400022952</v>
      </c>
      <c r="E53" s="6" t="s">
        <v>807</v>
      </c>
      <c r="F53" s="1">
        <v>5</v>
      </c>
      <c r="H53" s="1" t="s">
        <v>809</v>
      </c>
      <c r="I53" s="1" t="s">
        <v>809</v>
      </c>
      <c r="J53" s="1" t="s">
        <v>808</v>
      </c>
      <c r="L53" s="2">
        <v>982895214</v>
      </c>
    </row>
    <row r="54" spans="1:12" x14ac:dyDescent="0.35">
      <c r="A54" s="1">
        <v>52</v>
      </c>
      <c r="B54" s="1" t="s">
        <v>1178</v>
      </c>
      <c r="C54" s="1" t="s">
        <v>299</v>
      </c>
      <c r="D54" s="9">
        <v>3530200059483</v>
      </c>
    </row>
    <row r="55" spans="1:12" x14ac:dyDescent="0.35">
      <c r="A55" s="1">
        <v>53</v>
      </c>
      <c r="B55" s="1" t="s">
        <v>811</v>
      </c>
      <c r="C55" s="1" t="s">
        <v>810</v>
      </c>
      <c r="D55" s="9">
        <v>3101900071481</v>
      </c>
    </row>
    <row r="56" spans="1:12" x14ac:dyDescent="0.35">
      <c r="A56" s="1">
        <v>54</v>
      </c>
      <c r="B56" s="1" t="s">
        <v>526</v>
      </c>
      <c r="C56" s="1" t="s">
        <v>816</v>
      </c>
      <c r="D56" s="9">
        <v>3420500422479</v>
      </c>
      <c r="E56" s="6" t="s">
        <v>813</v>
      </c>
      <c r="H56" s="1" t="s">
        <v>815</v>
      </c>
      <c r="I56" s="1" t="s">
        <v>814</v>
      </c>
      <c r="J56" s="1" t="s">
        <v>40</v>
      </c>
      <c r="L56" s="2">
        <v>994942491</v>
      </c>
    </row>
    <row r="57" spans="1:12" x14ac:dyDescent="0.35">
      <c r="A57" s="1">
        <v>55</v>
      </c>
      <c r="B57" s="1" t="s">
        <v>826</v>
      </c>
      <c r="C57" s="1" t="s">
        <v>818</v>
      </c>
      <c r="D57" s="9">
        <v>1139600088541</v>
      </c>
      <c r="E57" s="6" t="s">
        <v>819</v>
      </c>
      <c r="F57" s="1">
        <v>17</v>
      </c>
      <c r="H57" s="1" t="s">
        <v>820</v>
      </c>
      <c r="I57" s="1" t="s">
        <v>821</v>
      </c>
      <c r="J57" s="1" t="s">
        <v>822</v>
      </c>
      <c r="K57" s="1">
        <v>13160</v>
      </c>
      <c r="L57" s="2">
        <v>845373001</v>
      </c>
    </row>
    <row r="58" spans="1:12" x14ac:dyDescent="0.35">
      <c r="A58" s="1">
        <v>56</v>
      </c>
      <c r="B58" s="1" t="s">
        <v>826</v>
      </c>
      <c r="C58" s="1" t="s">
        <v>825</v>
      </c>
      <c r="D58" s="9">
        <v>1579900508550</v>
      </c>
      <c r="E58" s="6" t="s">
        <v>827</v>
      </c>
      <c r="F58" s="1" t="s">
        <v>828</v>
      </c>
      <c r="H58" s="1" t="s">
        <v>829</v>
      </c>
      <c r="I58" s="1" t="s">
        <v>830</v>
      </c>
      <c r="J58" s="1" t="s">
        <v>64</v>
      </c>
    </row>
    <row r="59" spans="1:12" x14ac:dyDescent="0.35">
      <c r="A59" s="1">
        <v>57</v>
      </c>
      <c r="B59" s="1" t="s">
        <v>282</v>
      </c>
      <c r="C59" s="1" t="s">
        <v>832</v>
      </c>
      <c r="D59" s="9">
        <v>3520700113720</v>
      </c>
      <c r="E59" s="6" t="s">
        <v>833</v>
      </c>
      <c r="F59" s="1" t="s">
        <v>834</v>
      </c>
      <c r="H59" s="1" t="s">
        <v>835</v>
      </c>
      <c r="I59" s="1" t="s">
        <v>139</v>
      </c>
      <c r="J59" s="1" t="s">
        <v>64</v>
      </c>
      <c r="K59" s="1">
        <v>10510</v>
      </c>
      <c r="L59" s="2">
        <v>839189289</v>
      </c>
    </row>
    <row r="60" spans="1:12" x14ac:dyDescent="0.35">
      <c r="A60" s="1">
        <v>58</v>
      </c>
      <c r="B60" s="1" t="s">
        <v>839</v>
      </c>
      <c r="C60" s="1" t="s">
        <v>694</v>
      </c>
      <c r="D60" s="9">
        <v>3160600306155</v>
      </c>
      <c r="E60" s="6" t="s">
        <v>836</v>
      </c>
      <c r="F60" s="1">
        <v>1</v>
      </c>
      <c r="H60" s="1" t="s">
        <v>837</v>
      </c>
      <c r="I60" s="1" t="s">
        <v>838</v>
      </c>
      <c r="J60" s="1" t="s">
        <v>200</v>
      </c>
      <c r="K60" s="1">
        <v>15110</v>
      </c>
      <c r="L60" s="2">
        <v>898028162</v>
      </c>
    </row>
    <row r="61" spans="1:12" x14ac:dyDescent="0.35">
      <c r="A61" s="1">
        <v>59</v>
      </c>
      <c r="B61" s="1" t="s">
        <v>858</v>
      </c>
      <c r="C61" s="1" t="s">
        <v>855</v>
      </c>
      <c r="D61" s="9">
        <v>3209800045727</v>
      </c>
      <c r="E61" s="6" t="s">
        <v>856</v>
      </c>
      <c r="F61" s="1" t="s">
        <v>857</v>
      </c>
      <c r="H61" s="1" t="s">
        <v>258</v>
      </c>
      <c r="I61" s="1" t="s">
        <v>258</v>
      </c>
      <c r="J61" s="1" t="s">
        <v>27</v>
      </c>
      <c r="K61" s="1">
        <v>20140</v>
      </c>
      <c r="L61" s="2">
        <v>961425496</v>
      </c>
    </row>
    <row r="62" spans="1:12" x14ac:dyDescent="0.35">
      <c r="A62" s="1">
        <v>60</v>
      </c>
      <c r="B62" s="1" t="s">
        <v>865</v>
      </c>
      <c r="C62" s="1" t="s">
        <v>860</v>
      </c>
      <c r="D62" s="9">
        <v>3740100589152</v>
      </c>
      <c r="E62" s="6" t="s">
        <v>861</v>
      </c>
      <c r="F62" s="1">
        <v>3</v>
      </c>
      <c r="G62" s="1" t="s">
        <v>862</v>
      </c>
      <c r="H62" s="1" t="s">
        <v>863</v>
      </c>
      <c r="I62" s="1" t="s">
        <v>864</v>
      </c>
      <c r="J62" s="1" t="s">
        <v>729</v>
      </c>
      <c r="K62" s="1">
        <v>74000</v>
      </c>
      <c r="L62" s="77" t="s">
        <v>1177</v>
      </c>
    </row>
    <row r="63" spans="1:12" x14ac:dyDescent="0.35">
      <c r="A63" s="1">
        <v>61</v>
      </c>
      <c r="B63" s="1" t="s">
        <v>866</v>
      </c>
      <c r="C63" s="1" t="s">
        <v>845</v>
      </c>
      <c r="D63" s="9">
        <v>3209900137097</v>
      </c>
      <c r="E63" s="6" t="s">
        <v>867</v>
      </c>
      <c r="F63" s="1" t="s">
        <v>868</v>
      </c>
      <c r="H63" s="1" t="s">
        <v>869</v>
      </c>
      <c r="I63" s="1" t="s">
        <v>139</v>
      </c>
      <c r="J63" s="1" t="s">
        <v>64</v>
      </c>
      <c r="K63" s="1">
        <v>10510</v>
      </c>
      <c r="L63" s="2">
        <v>926615914</v>
      </c>
    </row>
    <row r="64" spans="1:12" x14ac:dyDescent="0.35">
      <c r="A64" s="1">
        <v>62</v>
      </c>
      <c r="B64" s="1" t="s">
        <v>1002</v>
      </c>
      <c r="C64" s="1" t="s">
        <v>1003</v>
      </c>
      <c r="D64" s="9">
        <v>3209600278825</v>
      </c>
      <c r="E64" s="6" t="s">
        <v>1004</v>
      </c>
      <c r="F64" s="1">
        <v>10</v>
      </c>
      <c r="H64" s="1" t="s">
        <v>1005</v>
      </c>
      <c r="I64" s="1" t="s">
        <v>484</v>
      </c>
      <c r="J64" s="1" t="s">
        <v>27</v>
      </c>
      <c r="K64" s="1">
        <v>20150</v>
      </c>
      <c r="L64" s="2">
        <v>819422704</v>
      </c>
    </row>
    <row r="65" spans="1:12" x14ac:dyDescent="0.35">
      <c r="A65" s="1">
        <v>63</v>
      </c>
      <c r="B65" s="1" t="s">
        <v>1012</v>
      </c>
      <c r="C65" s="1" t="s">
        <v>1013</v>
      </c>
      <c r="D65" s="9">
        <v>3101501848503</v>
      </c>
      <c r="E65" s="6" t="s">
        <v>1014</v>
      </c>
      <c r="F65" s="1" t="s">
        <v>1222</v>
      </c>
      <c r="H65" s="1" t="s">
        <v>1219</v>
      </c>
      <c r="I65" s="1" t="s">
        <v>1220</v>
      </c>
      <c r="J65" s="1" t="s">
        <v>1221</v>
      </c>
      <c r="K65" s="1">
        <v>18000</v>
      </c>
      <c r="L65" s="2">
        <v>638922556</v>
      </c>
    </row>
    <row r="66" spans="1:12" x14ac:dyDescent="0.35">
      <c r="A66" s="1">
        <v>64</v>
      </c>
      <c r="B66" s="1" t="s">
        <v>282</v>
      </c>
      <c r="C66" s="1" t="s">
        <v>1352</v>
      </c>
      <c r="D66" s="9">
        <v>1209600072121</v>
      </c>
    </row>
    <row r="67" spans="1:12" x14ac:dyDescent="0.35">
      <c r="A67" s="1">
        <v>65</v>
      </c>
      <c r="B67" s="1" t="s">
        <v>1354</v>
      </c>
      <c r="C67" s="1" t="s">
        <v>1353</v>
      </c>
      <c r="D67" s="9">
        <v>3100503188151</v>
      </c>
    </row>
    <row r="68" spans="1:12" x14ac:dyDescent="0.35">
      <c r="D68" s="9"/>
    </row>
    <row r="69" spans="1:12" x14ac:dyDescent="0.35">
      <c r="D69" s="9"/>
    </row>
    <row r="70" spans="1:12" x14ac:dyDescent="0.35">
      <c r="D70" s="9"/>
    </row>
    <row r="71" spans="1:12" s="53" customFormat="1" x14ac:dyDescent="0.35">
      <c r="B71" s="53" t="s">
        <v>481</v>
      </c>
      <c r="E71" s="62"/>
    </row>
    <row r="74" spans="1:12" x14ac:dyDescent="0.35">
      <c r="C74" s="6"/>
      <c r="D74" s="9"/>
    </row>
    <row r="75" spans="1:12" x14ac:dyDescent="0.35">
      <c r="C75" s="6"/>
      <c r="D75" s="9"/>
      <c r="E75" s="1"/>
    </row>
    <row r="76" spans="1:12" x14ac:dyDescent="0.35">
      <c r="C76" s="6"/>
      <c r="D76" s="9"/>
    </row>
  </sheetData>
  <autoFilter ref="A2:M2" xr:uid="{C42ABFBA-4EF5-42C1-8CFA-7E128ED9F573}"/>
  <dataValidations disablePrompts="1" count="1">
    <dataValidation type="list" allowBlank="1" showInputMessage="1" showErrorMessage="1" sqref="B71" xr:uid="{5AB77D51-3FF1-4D1A-BA58-F3EBA224220F}">
      <formula1>"ยกระดับฝีมือ , อาชีพเสริม , เตรียมเข้าทำงาน"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F922-1DEB-48C4-88AE-57CEAF760405}">
  <dimension ref="A1:I4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5" sqref="D5"/>
    </sheetView>
  </sheetViews>
  <sheetFormatPr defaultRowHeight="21" x14ac:dyDescent="0.35"/>
  <cols>
    <col min="1" max="1" width="8.75" style="10"/>
    <col min="2" max="2" width="12.75" style="10" customWidth="1"/>
    <col min="3" max="3" width="31.125" customWidth="1"/>
    <col min="4" max="4" width="30.25" customWidth="1"/>
    <col min="5" max="9" width="12.75" customWidth="1"/>
  </cols>
  <sheetData>
    <row r="1" spans="1:9" x14ac:dyDescent="0.35">
      <c r="D1" t="s">
        <v>657</v>
      </c>
      <c r="E1" s="69">
        <f>SUM(E3:E50)</f>
        <v>471000</v>
      </c>
      <c r="F1" s="69">
        <f t="shared" ref="F1:I1" si="0">SUM(F3:F50)</f>
        <v>191058.43</v>
      </c>
      <c r="G1" s="69">
        <f t="shared" si="0"/>
        <v>257250</v>
      </c>
      <c r="H1" s="69">
        <f t="shared" si="0"/>
        <v>58030</v>
      </c>
      <c r="I1" s="69">
        <f t="shared" si="0"/>
        <v>977338.42999999993</v>
      </c>
    </row>
    <row r="2" spans="1:9" x14ac:dyDescent="0.35">
      <c r="A2" s="68" t="s">
        <v>552</v>
      </c>
      <c r="B2" s="68" t="s">
        <v>3</v>
      </c>
      <c r="C2" s="68" t="s">
        <v>448</v>
      </c>
      <c r="D2" s="68" t="s">
        <v>477</v>
      </c>
      <c r="E2" s="68" t="s">
        <v>653</v>
      </c>
      <c r="F2" s="68" t="s">
        <v>654</v>
      </c>
      <c r="G2" s="68" t="s">
        <v>604</v>
      </c>
      <c r="H2" s="68" t="s">
        <v>655</v>
      </c>
      <c r="I2" s="68" t="s">
        <v>656</v>
      </c>
    </row>
    <row r="3" spans="1:9" x14ac:dyDescent="0.35">
      <c r="A3" s="10" t="s">
        <v>650</v>
      </c>
      <c r="B3" s="10" t="s">
        <v>10</v>
      </c>
      <c r="C3" t="s">
        <v>659</v>
      </c>
      <c r="D3" t="s">
        <v>660</v>
      </c>
      <c r="E3" s="69">
        <v>15000</v>
      </c>
      <c r="F3" s="69">
        <v>10000</v>
      </c>
      <c r="G3" s="69">
        <v>12000</v>
      </c>
      <c r="H3" s="69">
        <v>0</v>
      </c>
      <c r="I3" s="69">
        <f t="shared" ref="I3:I5" si="1">SUM(E3:H3)</f>
        <v>37000</v>
      </c>
    </row>
    <row r="4" spans="1:9" x14ac:dyDescent="0.35">
      <c r="A4" s="10" t="s">
        <v>651</v>
      </c>
      <c r="B4" s="10" t="s">
        <v>658</v>
      </c>
      <c r="C4" t="s">
        <v>661</v>
      </c>
      <c r="D4" t="s">
        <v>663</v>
      </c>
      <c r="E4" s="69">
        <v>15000</v>
      </c>
      <c r="F4" s="69">
        <v>10000</v>
      </c>
      <c r="G4" s="69">
        <v>10000</v>
      </c>
      <c r="H4" s="69">
        <v>0</v>
      </c>
      <c r="I4" s="69">
        <f t="shared" si="1"/>
        <v>35000</v>
      </c>
    </row>
    <row r="5" spans="1:9" x14ac:dyDescent="0.35">
      <c r="A5" s="10" t="s">
        <v>652</v>
      </c>
      <c r="B5" s="10" t="s">
        <v>10</v>
      </c>
      <c r="C5" t="s">
        <v>661</v>
      </c>
      <c r="D5" t="s">
        <v>662</v>
      </c>
      <c r="E5" s="69">
        <v>15000</v>
      </c>
      <c r="F5" s="69">
        <v>10000</v>
      </c>
      <c r="G5" s="69">
        <v>12000</v>
      </c>
      <c r="H5" s="69">
        <v>0</v>
      </c>
      <c r="I5" s="69">
        <f t="shared" si="1"/>
        <v>37000</v>
      </c>
    </row>
    <row r="6" spans="1:9" x14ac:dyDescent="0.35">
      <c r="A6" s="10">
        <v>68001</v>
      </c>
      <c r="B6" s="10" t="e">
        <f t="shared" ref="B6:B29" ca="1" si="2">VLOOKUP($A6,รายการฝึก,4,FALSE)</f>
        <v>#N/A</v>
      </c>
      <c r="C6" t="e">
        <f t="shared" ref="C6:C29" ca="1" si="3">VLOOKUP($A6,รายการฝึก,5,FALSE)</f>
        <v>#N/A</v>
      </c>
      <c r="D6" t="e">
        <f t="shared" ref="D6:D29" ca="1" si="4">VLOOKUP($A6,รายการฝึก,6,FALSE)</f>
        <v>#N/A</v>
      </c>
      <c r="E6" s="69">
        <v>18000</v>
      </c>
      <c r="F6" s="69">
        <v>13000</v>
      </c>
      <c r="G6" s="69">
        <v>0</v>
      </c>
      <c r="H6" s="69">
        <v>8260</v>
      </c>
      <c r="I6" s="69">
        <f>SUM(E6:H6)</f>
        <v>39260</v>
      </c>
    </row>
    <row r="7" spans="1:9" x14ac:dyDescent="0.35">
      <c r="A7" s="10">
        <v>68002</v>
      </c>
      <c r="B7" s="10" t="e">
        <f t="shared" ca="1" si="2"/>
        <v>#N/A</v>
      </c>
      <c r="C7" t="e">
        <f t="shared" ca="1" si="3"/>
        <v>#N/A</v>
      </c>
      <c r="D7" t="e">
        <f t="shared" ca="1" si="4"/>
        <v>#N/A</v>
      </c>
      <c r="E7" s="69">
        <v>18000</v>
      </c>
      <c r="F7" s="69">
        <v>12000</v>
      </c>
      <c r="G7" s="69">
        <v>11200</v>
      </c>
      <c r="H7" s="69">
        <v>7840</v>
      </c>
      <c r="I7" s="69">
        <f t="shared" ref="I7:I29" si="5">SUM(E7:H7)</f>
        <v>49040</v>
      </c>
    </row>
    <row r="8" spans="1:9" x14ac:dyDescent="0.35">
      <c r="A8" s="10">
        <v>68003</v>
      </c>
      <c r="B8" s="10" t="e">
        <f t="shared" ca="1" si="2"/>
        <v>#N/A</v>
      </c>
      <c r="C8" t="e">
        <f t="shared" ca="1" si="3"/>
        <v>#N/A</v>
      </c>
      <c r="D8" t="e">
        <f t="shared" ca="1" si="4"/>
        <v>#N/A</v>
      </c>
      <c r="E8" s="69">
        <v>30000</v>
      </c>
      <c r="F8" s="69">
        <v>6087.23</v>
      </c>
      <c r="G8" s="69">
        <v>39000</v>
      </c>
      <c r="H8" s="69">
        <v>18200</v>
      </c>
      <c r="I8" s="69">
        <f t="shared" si="5"/>
        <v>93287.23</v>
      </c>
    </row>
    <row r="9" spans="1:9" x14ac:dyDescent="0.35">
      <c r="A9" s="10">
        <v>68004</v>
      </c>
      <c r="B9" s="10" t="e">
        <f t="shared" ca="1" si="2"/>
        <v>#N/A</v>
      </c>
      <c r="C9" t="e">
        <f t="shared" ca="1" si="3"/>
        <v>#N/A</v>
      </c>
      <c r="D9" t="e">
        <f t="shared" ca="1" si="4"/>
        <v>#N/A</v>
      </c>
      <c r="E9" s="69">
        <v>18000</v>
      </c>
      <c r="F9" s="69">
        <v>9980</v>
      </c>
      <c r="G9" s="69">
        <v>6900</v>
      </c>
      <c r="H9" s="69">
        <v>4830</v>
      </c>
      <c r="I9" s="69">
        <f t="shared" si="5"/>
        <v>39710</v>
      </c>
    </row>
    <row r="10" spans="1:9" x14ac:dyDescent="0.35">
      <c r="A10" s="10">
        <v>68005</v>
      </c>
      <c r="B10" s="10" t="e">
        <f t="shared" ca="1" si="2"/>
        <v>#N/A</v>
      </c>
      <c r="C10" t="e">
        <f t="shared" ca="1" si="3"/>
        <v>#N/A</v>
      </c>
      <c r="D10" t="e">
        <f t="shared" ca="1" si="4"/>
        <v>#N/A</v>
      </c>
      <c r="E10" s="69">
        <v>18000</v>
      </c>
      <c r="F10" s="69">
        <v>4900.6000000000004</v>
      </c>
      <c r="G10" s="69">
        <v>6000</v>
      </c>
      <c r="H10" s="69">
        <v>4200</v>
      </c>
      <c r="I10" s="69">
        <f t="shared" si="5"/>
        <v>33100.6</v>
      </c>
    </row>
    <row r="11" spans="1:9" x14ac:dyDescent="0.35">
      <c r="A11" s="10">
        <v>68006</v>
      </c>
      <c r="B11" s="10" t="e">
        <f t="shared" ca="1" si="2"/>
        <v>#N/A</v>
      </c>
      <c r="C11" t="e">
        <f t="shared" ca="1" si="3"/>
        <v>#N/A</v>
      </c>
      <c r="D11" t="e">
        <f t="shared" ca="1" si="4"/>
        <v>#N/A</v>
      </c>
      <c r="E11" s="69">
        <v>18000</v>
      </c>
      <c r="F11" s="69">
        <v>10990</v>
      </c>
      <c r="G11" s="69">
        <v>11000</v>
      </c>
      <c r="H11" s="69">
        <v>7700</v>
      </c>
      <c r="I11" s="69">
        <f t="shared" si="5"/>
        <v>47690</v>
      </c>
    </row>
    <row r="12" spans="1:9" x14ac:dyDescent="0.35">
      <c r="A12" s="10">
        <v>68007</v>
      </c>
      <c r="B12" s="10" t="e">
        <f t="shared" ca="1" si="2"/>
        <v>#N/A</v>
      </c>
      <c r="C12" t="e">
        <f t="shared" ca="1" si="3"/>
        <v>#N/A</v>
      </c>
      <c r="D12" t="e">
        <f t="shared" ca="1" si="4"/>
        <v>#N/A</v>
      </c>
      <c r="E12" s="69">
        <v>15000</v>
      </c>
      <c r="F12" s="69">
        <v>9995</v>
      </c>
      <c r="G12" s="69">
        <v>10000</v>
      </c>
      <c r="H12" s="69">
        <v>0</v>
      </c>
      <c r="I12" s="69">
        <f t="shared" si="5"/>
        <v>34995</v>
      </c>
    </row>
    <row r="13" spans="1:9" x14ac:dyDescent="0.35">
      <c r="A13" s="10">
        <v>68008</v>
      </c>
      <c r="B13" s="10" t="e">
        <f t="shared" ca="1" si="2"/>
        <v>#N/A</v>
      </c>
      <c r="C13" t="e">
        <f t="shared" ca="1" si="3"/>
        <v>#N/A</v>
      </c>
      <c r="D13" t="e">
        <f t="shared" ca="1" si="4"/>
        <v>#N/A</v>
      </c>
      <c r="E13" s="69">
        <v>18000</v>
      </c>
      <c r="F13" s="69">
        <v>8859.6</v>
      </c>
      <c r="G13" s="69">
        <v>10000</v>
      </c>
      <c r="H13" s="69">
        <v>7000</v>
      </c>
      <c r="I13" s="69">
        <f t="shared" si="5"/>
        <v>43859.6</v>
      </c>
    </row>
    <row r="14" spans="1:9" x14ac:dyDescent="0.35">
      <c r="A14" s="10">
        <v>68009</v>
      </c>
      <c r="B14" s="10" t="e">
        <f t="shared" ca="1" si="2"/>
        <v>#N/A</v>
      </c>
      <c r="C14" t="e">
        <f t="shared" ca="1" si="3"/>
        <v>#N/A</v>
      </c>
      <c r="D14" t="e">
        <f t="shared" ca="1" si="4"/>
        <v>#N/A</v>
      </c>
      <c r="E14" s="69">
        <v>18000</v>
      </c>
      <c r="F14" s="69">
        <v>11995</v>
      </c>
      <c r="G14" s="69">
        <v>18000</v>
      </c>
      <c r="H14" s="69">
        <v>0</v>
      </c>
      <c r="I14" s="69">
        <f t="shared" si="5"/>
        <v>47995</v>
      </c>
    </row>
    <row r="15" spans="1:9" x14ac:dyDescent="0.35">
      <c r="A15" s="10">
        <v>68010</v>
      </c>
      <c r="B15" s="10" t="e">
        <f t="shared" ca="1" si="2"/>
        <v>#N/A</v>
      </c>
      <c r="C15" t="e">
        <f t="shared" ca="1" si="3"/>
        <v>#N/A</v>
      </c>
      <c r="D15" t="e">
        <f t="shared" ca="1" si="4"/>
        <v>#N/A</v>
      </c>
      <c r="E15" s="69">
        <v>27000</v>
      </c>
      <c r="F15" s="69">
        <v>635</v>
      </c>
      <c r="G15" s="69">
        <v>0</v>
      </c>
      <c r="H15" s="69">
        <v>0</v>
      </c>
      <c r="I15" s="69">
        <f t="shared" si="5"/>
        <v>27635</v>
      </c>
    </row>
    <row r="16" spans="1:9" x14ac:dyDescent="0.35">
      <c r="A16" s="10">
        <v>68011</v>
      </c>
      <c r="B16" s="10" t="e">
        <f t="shared" ca="1" si="2"/>
        <v>#N/A</v>
      </c>
      <c r="C16" t="e">
        <f t="shared" ca="1" si="3"/>
        <v>#N/A</v>
      </c>
      <c r="D16" t="e">
        <f t="shared" ca="1" si="4"/>
        <v>#N/A</v>
      </c>
      <c r="E16" s="69">
        <v>27000</v>
      </c>
      <c r="F16" s="69">
        <v>635</v>
      </c>
      <c r="G16" s="69">
        <v>0</v>
      </c>
      <c r="H16" s="69">
        <v>0</v>
      </c>
      <c r="I16" s="69">
        <f t="shared" si="5"/>
        <v>27635</v>
      </c>
    </row>
    <row r="17" spans="1:9" x14ac:dyDescent="0.35">
      <c r="A17" s="10">
        <v>68012</v>
      </c>
      <c r="B17" s="10" t="e">
        <f t="shared" ca="1" si="2"/>
        <v>#N/A</v>
      </c>
      <c r="C17" t="e">
        <f t="shared" ca="1" si="3"/>
        <v>#N/A</v>
      </c>
      <c r="D17" t="e">
        <f t="shared" ca="1" si="4"/>
        <v>#N/A</v>
      </c>
      <c r="E17" s="69">
        <v>27000</v>
      </c>
      <c r="F17" s="69">
        <v>635</v>
      </c>
      <c r="G17" s="69">
        <v>0</v>
      </c>
      <c r="H17" s="69">
        <v>0</v>
      </c>
      <c r="I17" s="69">
        <f t="shared" si="5"/>
        <v>27635</v>
      </c>
    </row>
    <row r="18" spans="1:9" x14ac:dyDescent="0.35">
      <c r="A18" s="10">
        <v>68013</v>
      </c>
      <c r="B18" s="10" t="e">
        <f t="shared" ca="1" si="2"/>
        <v>#N/A</v>
      </c>
      <c r="C18" t="e">
        <f t="shared" ca="1" si="3"/>
        <v>#N/A</v>
      </c>
      <c r="D18" t="e">
        <f t="shared" ca="1" si="4"/>
        <v>#N/A</v>
      </c>
      <c r="E18" s="69">
        <v>27000</v>
      </c>
      <c r="F18" s="69">
        <v>635</v>
      </c>
      <c r="G18" s="69">
        <v>0</v>
      </c>
      <c r="H18" s="69">
        <v>0</v>
      </c>
      <c r="I18" s="69">
        <f t="shared" si="5"/>
        <v>27635</v>
      </c>
    </row>
    <row r="19" spans="1:9" s="53" customFormat="1" x14ac:dyDescent="0.35">
      <c r="A19" s="55">
        <v>68014</v>
      </c>
      <c r="B19" s="55" t="e">
        <f t="shared" ca="1" si="2"/>
        <v>#N/A</v>
      </c>
      <c r="C19" s="53" t="e">
        <f t="shared" ca="1" si="3"/>
        <v>#N/A</v>
      </c>
      <c r="D19" s="53" t="e">
        <f t="shared" ca="1" si="4"/>
        <v>#N/A</v>
      </c>
      <c r="E19" s="74" t="s">
        <v>683</v>
      </c>
      <c r="F19" s="73">
        <v>635</v>
      </c>
      <c r="G19" s="73"/>
      <c r="H19" s="73"/>
      <c r="I19" s="73">
        <f t="shared" si="5"/>
        <v>635</v>
      </c>
    </row>
    <row r="20" spans="1:9" x14ac:dyDescent="0.35">
      <c r="A20" s="10">
        <v>68015</v>
      </c>
      <c r="B20" s="10" t="e">
        <f t="shared" ca="1" si="2"/>
        <v>#N/A</v>
      </c>
      <c r="C20" t="e">
        <f t="shared" ca="1" si="3"/>
        <v>#N/A</v>
      </c>
      <c r="D20" t="e">
        <f t="shared" ca="1" si="4"/>
        <v>#N/A</v>
      </c>
      <c r="E20" s="69">
        <v>18000</v>
      </c>
      <c r="F20" s="69">
        <v>12496</v>
      </c>
      <c r="G20" s="69">
        <v>15900</v>
      </c>
      <c r="H20" s="69">
        <v>0</v>
      </c>
      <c r="I20" s="69">
        <f t="shared" si="5"/>
        <v>46396</v>
      </c>
    </row>
    <row r="21" spans="1:9" x14ac:dyDescent="0.35">
      <c r="A21" s="10">
        <v>68016</v>
      </c>
      <c r="B21" s="10" t="e">
        <f t="shared" ca="1" si="2"/>
        <v>#N/A</v>
      </c>
      <c r="C21" t="e">
        <f t="shared" ca="1" si="3"/>
        <v>#N/A</v>
      </c>
      <c r="D21" t="e">
        <f t="shared" ca="1" si="4"/>
        <v>#N/A</v>
      </c>
      <c r="E21" s="69">
        <v>18000</v>
      </c>
      <c r="F21" s="69">
        <v>0</v>
      </c>
      <c r="G21" s="69">
        <v>15000</v>
      </c>
      <c r="H21" s="69">
        <v>0</v>
      </c>
      <c r="I21" s="69">
        <f t="shared" si="5"/>
        <v>33000</v>
      </c>
    </row>
    <row r="22" spans="1:9" x14ac:dyDescent="0.35">
      <c r="A22" s="10">
        <v>68017</v>
      </c>
      <c r="B22" s="10" t="e">
        <f t="shared" ca="1" si="2"/>
        <v>#N/A</v>
      </c>
      <c r="C22" t="e">
        <f t="shared" ca="1" si="3"/>
        <v>#N/A</v>
      </c>
      <c r="D22" t="e">
        <f t="shared" ca="1" si="4"/>
        <v>#N/A</v>
      </c>
      <c r="E22" s="69">
        <v>18000</v>
      </c>
      <c r="F22" s="69">
        <v>10985</v>
      </c>
      <c r="G22" s="69">
        <v>18750</v>
      </c>
      <c r="H22" s="69">
        <v>0</v>
      </c>
      <c r="I22" s="69">
        <f t="shared" si="5"/>
        <v>47735</v>
      </c>
    </row>
    <row r="23" spans="1:9" x14ac:dyDescent="0.35">
      <c r="A23" s="10">
        <v>68018</v>
      </c>
      <c r="B23" s="10" t="e">
        <f t="shared" ca="1" si="2"/>
        <v>#N/A</v>
      </c>
      <c r="C23" t="e">
        <f t="shared" ca="1" si="3"/>
        <v>#N/A</v>
      </c>
      <c r="D23" t="e">
        <f t="shared" ca="1" si="4"/>
        <v>#N/A</v>
      </c>
      <c r="E23" s="69">
        <v>18000</v>
      </c>
      <c r="F23" s="69">
        <v>9995</v>
      </c>
      <c r="G23" s="69">
        <v>15000</v>
      </c>
      <c r="H23" s="69">
        <v>0</v>
      </c>
      <c r="I23" s="69">
        <f t="shared" si="5"/>
        <v>42995</v>
      </c>
    </row>
    <row r="24" spans="1:9" x14ac:dyDescent="0.35">
      <c r="A24" s="10">
        <v>68019</v>
      </c>
      <c r="B24" s="10" t="e">
        <f t="shared" ca="1" si="2"/>
        <v>#N/A</v>
      </c>
      <c r="C24" t="e">
        <f t="shared" ca="1" si="3"/>
        <v>#N/A</v>
      </c>
      <c r="D24" t="e">
        <f t="shared" ca="1" si="4"/>
        <v>#N/A</v>
      </c>
      <c r="E24" s="69">
        <v>18000</v>
      </c>
      <c r="F24" s="69">
        <v>10000</v>
      </c>
      <c r="G24" s="69">
        <v>15000</v>
      </c>
      <c r="H24" s="69">
        <v>0</v>
      </c>
      <c r="I24" s="69">
        <f t="shared" si="5"/>
        <v>43000</v>
      </c>
    </row>
    <row r="25" spans="1:9" x14ac:dyDescent="0.35">
      <c r="A25" s="10">
        <v>68020</v>
      </c>
      <c r="B25" s="10" t="e">
        <f t="shared" ca="1" si="2"/>
        <v>#N/A</v>
      </c>
      <c r="C25" t="e">
        <f t="shared" ca="1" si="3"/>
        <v>#N/A</v>
      </c>
      <c r="D25" t="e">
        <f t="shared" ca="1" si="4"/>
        <v>#N/A</v>
      </c>
      <c r="E25" s="69">
        <v>18000</v>
      </c>
      <c r="F25" s="69">
        <v>8310</v>
      </c>
      <c r="G25" s="69">
        <v>16500</v>
      </c>
      <c r="H25" s="69">
        <v>0</v>
      </c>
      <c r="I25" s="69">
        <f t="shared" si="5"/>
        <v>42810</v>
      </c>
    </row>
    <row r="26" spans="1:9" x14ac:dyDescent="0.35">
      <c r="A26" s="10">
        <v>68021</v>
      </c>
      <c r="B26" s="10" t="e">
        <f t="shared" ca="1" si="2"/>
        <v>#N/A</v>
      </c>
      <c r="C26" t="e">
        <f t="shared" ca="1" si="3"/>
        <v>#N/A</v>
      </c>
      <c r="D26" t="e">
        <f t="shared" ca="1" si="4"/>
        <v>#N/A</v>
      </c>
      <c r="E26" s="69">
        <v>18000</v>
      </c>
      <c r="F26" s="69">
        <v>8310</v>
      </c>
      <c r="G26" s="69">
        <v>15000</v>
      </c>
      <c r="H26" s="69">
        <v>0</v>
      </c>
      <c r="I26" s="69">
        <f t="shared" si="5"/>
        <v>41310</v>
      </c>
    </row>
    <row r="27" spans="1:9" s="53" customFormat="1" x14ac:dyDescent="0.35">
      <c r="A27" s="55">
        <v>68022</v>
      </c>
      <c r="B27" s="55" t="e">
        <f t="shared" ca="1" si="2"/>
        <v>#N/A</v>
      </c>
      <c r="C27" s="53" t="e">
        <f t="shared" ca="1" si="3"/>
        <v>#N/A</v>
      </c>
      <c r="D27" s="53" t="e">
        <f t="shared" ca="1" si="4"/>
        <v>#N/A</v>
      </c>
      <c r="E27" s="74" t="s">
        <v>683</v>
      </c>
      <c r="F27" s="73"/>
      <c r="G27" s="73"/>
      <c r="H27" s="73"/>
      <c r="I27" s="73">
        <f t="shared" si="5"/>
        <v>0</v>
      </c>
    </row>
    <row r="28" spans="1:9" x14ac:dyDescent="0.35">
      <c r="A28" s="10">
        <v>68023</v>
      </c>
      <c r="B28" s="10" t="e">
        <f t="shared" ca="1" si="2"/>
        <v>#N/A</v>
      </c>
      <c r="C28" t="e">
        <f t="shared" ca="1" si="3"/>
        <v>#N/A</v>
      </c>
      <c r="D28" t="e">
        <f t="shared" ca="1" si="4"/>
        <v>#N/A</v>
      </c>
      <c r="E28" s="69">
        <v>21000</v>
      </c>
      <c r="F28" s="69">
        <v>9980</v>
      </c>
      <c r="G28" s="69"/>
      <c r="H28" s="69">
        <v>0</v>
      </c>
      <c r="I28" s="69">
        <f t="shared" si="5"/>
        <v>30980</v>
      </c>
    </row>
    <row r="29" spans="1:9" x14ac:dyDescent="0.35">
      <c r="A29" s="10">
        <v>68024</v>
      </c>
      <c r="B29" s="10" t="e">
        <f t="shared" ca="1" si="2"/>
        <v>#N/A</v>
      </c>
      <c r="C29" t="e">
        <f t="shared" ca="1" si="3"/>
        <v>#N/A</v>
      </c>
      <c r="D29" t="e">
        <f t="shared" ca="1" si="4"/>
        <v>#N/A</v>
      </c>
      <c r="E29" s="69">
        <v>0</v>
      </c>
      <c r="F29" s="69">
        <v>0</v>
      </c>
      <c r="G29" s="69">
        <v>0</v>
      </c>
      <c r="H29" s="69">
        <v>0</v>
      </c>
      <c r="I29" s="69">
        <f t="shared" si="5"/>
        <v>0</v>
      </c>
    </row>
    <row r="30" spans="1:9" x14ac:dyDescent="0.35">
      <c r="E30" s="69"/>
      <c r="F30" s="69"/>
      <c r="G30" s="69"/>
      <c r="H30" s="69"/>
      <c r="I30" s="69"/>
    </row>
    <row r="31" spans="1:9" x14ac:dyDescent="0.35">
      <c r="E31" s="69"/>
      <c r="F31" s="69"/>
      <c r="G31" s="69"/>
      <c r="H31" s="69"/>
      <c r="I31" s="69"/>
    </row>
    <row r="32" spans="1:9" x14ac:dyDescent="0.35">
      <c r="E32" s="69"/>
      <c r="F32" s="69"/>
      <c r="G32" s="69"/>
      <c r="H32" s="69"/>
      <c r="I32" s="69"/>
    </row>
    <row r="33" spans="5:9" x14ac:dyDescent="0.35">
      <c r="E33" s="69"/>
      <c r="F33" s="69"/>
      <c r="G33" s="69"/>
      <c r="H33" s="69"/>
      <c r="I33" s="69"/>
    </row>
    <row r="34" spans="5:9" x14ac:dyDescent="0.35">
      <c r="E34" s="69"/>
      <c r="F34" s="69"/>
      <c r="G34" s="69"/>
      <c r="H34" s="69"/>
      <c r="I34" s="69"/>
    </row>
    <row r="35" spans="5:9" x14ac:dyDescent="0.35">
      <c r="E35" s="69"/>
      <c r="F35" s="69"/>
      <c r="G35" s="69"/>
      <c r="H35" s="69"/>
      <c r="I35" s="69"/>
    </row>
    <row r="36" spans="5:9" x14ac:dyDescent="0.35">
      <c r="E36" s="69"/>
      <c r="F36" s="69"/>
      <c r="G36" s="69"/>
      <c r="H36" s="69"/>
      <c r="I36" s="69"/>
    </row>
    <row r="37" spans="5:9" x14ac:dyDescent="0.35">
      <c r="E37" s="69"/>
      <c r="F37" s="69"/>
      <c r="G37" s="69"/>
      <c r="H37" s="69"/>
      <c r="I37" s="69"/>
    </row>
    <row r="38" spans="5:9" x14ac:dyDescent="0.35">
      <c r="E38" s="69"/>
      <c r="F38" s="69"/>
      <c r="G38" s="69"/>
      <c r="H38" s="69"/>
      <c r="I38" s="69"/>
    </row>
    <row r="39" spans="5:9" x14ac:dyDescent="0.35">
      <c r="E39" s="69"/>
      <c r="F39" s="69"/>
      <c r="G39" s="69"/>
      <c r="H39" s="69"/>
      <c r="I39" s="69"/>
    </row>
    <row r="40" spans="5:9" x14ac:dyDescent="0.35">
      <c r="E40" s="69"/>
      <c r="F40" s="69"/>
      <c r="G40" s="69"/>
      <c r="H40" s="69"/>
      <c r="I40" s="69"/>
    </row>
    <row r="41" spans="5:9" x14ac:dyDescent="0.35">
      <c r="E41" s="69"/>
      <c r="F41" s="69"/>
      <c r="G41" s="69"/>
      <c r="H41" s="69"/>
      <c r="I41" s="69"/>
    </row>
    <row r="42" spans="5:9" x14ac:dyDescent="0.35">
      <c r="E42" s="69"/>
      <c r="F42" s="69"/>
      <c r="G42" s="69"/>
      <c r="H42" s="69"/>
      <c r="I42" s="69"/>
    </row>
    <row r="43" spans="5:9" x14ac:dyDescent="0.35">
      <c r="E43" s="69"/>
      <c r="F43" s="69"/>
      <c r="G43" s="69"/>
      <c r="H43" s="69"/>
      <c r="I43" s="69"/>
    </row>
    <row r="44" spans="5:9" x14ac:dyDescent="0.35">
      <c r="E44" s="69"/>
      <c r="F44" s="69"/>
      <c r="G44" s="69"/>
      <c r="H44" s="69"/>
      <c r="I44" s="69"/>
    </row>
    <row r="45" spans="5:9" x14ac:dyDescent="0.35">
      <c r="E45" s="69"/>
      <c r="F45" s="69"/>
      <c r="G45" s="69"/>
      <c r="H45" s="69"/>
      <c r="I45" s="69"/>
    </row>
    <row r="46" spans="5:9" x14ac:dyDescent="0.35">
      <c r="E46" s="69"/>
      <c r="F46" s="69"/>
      <c r="G46" s="69"/>
      <c r="H46" s="69"/>
      <c r="I46" s="69"/>
    </row>
    <row r="47" spans="5:9" x14ac:dyDescent="0.35">
      <c r="E47" s="69"/>
      <c r="F47" s="69"/>
      <c r="G47" s="69"/>
      <c r="H47" s="69"/>
      <c r="I47" s="69"/>
    </row>
    <row r="48" spans="5:9" x14ac:dyDescent="0.35">
      <c r="E48" s="69"/>
      <c r="F48" s="69"/>
      <c r="G48" s="69"/>
      <c r="H48" s="69"/>
      <c r="I48" s="69"/>
    </row>
    <row r="49" spans="5:9" x14ac:dyDescent="0.35">
      <c r="E49" s="69"/>
      <c r="F49" s="69"/>
      <c r="G49" s="69"/>
      <c r="H49" s="69"/>
      <c r="I49" s="69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87B0-C229-49E4-8AFD-017A4FB349A5}">
  <dimension ref="A1:U31"/>
  <sheetViews>
    <sheetView topLeftCell="A16" workbookViewId="0">
      <selection activeCell="C27" sqref="C27"/>
    </sheetView>
  </sheetViews>
  <sheetFormatPr defaultRowHeight="21" x14ac:dyDescent="0.35"/>
  <cols>
    <col min="1" max="1" width="6.125" customWidth="1"/>
    <col min="2" max="2" width="13" customWidth="1"/>
    <col min="3" max="3" width="11.375" style="10" customWidth="1"/>
    <col min="4" max="4" width="13" customWidth="1"/>
    <col min="5" max="9" width="12.125" customWidth="1"/>
    <col min="10" max="10" width="7.75" style="10" bestFit="1" customWidth="1"/>
    <col min="11" max="11" width="8.625" style="10" customWidth="1"/>
    <col min="12" max="12" width="8.75" style="10" customWidth="1"/>
    <col min="13" max="13" width="8.75" style="10" bestFit="1" customWidth="1"/>
    <col min="14" max="14" width="8.875" style="10" customWidth="1"/>
    <col min="15" max="15" width="8.125" style="10" customWidth="1"/>
    <col min="16" max="16" width="7.75" customWidth="1"/>
    <col min="17" max="17" width="8.875" bestFit="1" customWidth="1"/>
    <col min="18" max="18" width="10.625" style="10" customWidth="1"/>
  </cols>
  <sheetData>
    <row r="1" spans="1:21" x14ac:dyDescent="0.35">
      <c r="L1" s="10" t="s">
        <v>664</v>
      </c>
    </row>
    <row r="2" spans="1:21" x14ac:dyDescent="0.35">
      <c r="A2" t="s">
        <v>5</v>
      </c>
      <c r="B2" t="s">
        <v>482</v>
      </c>
      <c r="C2" s="10" t="s">
        <v>493</v>
      </c>
      <c r="D2" t="s">
        <v>8</v>
      </c>
      <c r="E2" t="s">
        <v>1</v>
      </c>
      <c r="F2" t="s">
        <v>2</v>
      </c>
      <c r="G2" t="s">
        <v>3</v>
      </c>
      <c r="H2" t="s">
        <v>4</v>
      </c>
      <c r="I2" t="s">
        <v>978</v>
      </c>
      <c r="J2" s="10" t="s">
        <v>444</v>
      </c>
      <c r="L2" s="10" t="s">
        <v>458</v>
      </c>
      <c r="M2" s="10" t="s">
        <v>456</v>
      </c>
      <c r="N2" s="10" t="s">
        <v>479</v>
      </c>
      <c r="O2" s="10" t="s">
        <v>480</v>
      </c>
      <c r="P2" s="10" t="s">
        <v>987</v>
      </c>
      <c r="Q2" t="s">
        <v>988</v>
      </c>
      <c r="R2" s="10" t="s">
        <v>666</v>
      </c>
      <c r="S2" s="10" t="s">
        <v>970</v>
      </c>
      <c r="T2" s="10" t="s">
        <v>989</v>
      </c>
    </row>
    <row r="3" spans="1:21" x14ac:dyDescent="0.35">
      <c r="A3">
        <v>1</v>
      </c>
      <c r="B3" t="s">
        <v>925</v>
      </c>
      <c r="C3" s="10">
        <v>2569</v>
      </c>
      <c r="D3" s="75" t="s">
        <v>9</v>
      </c>
      <c r="E3" s="75" t="s">
        <v>0</v>
      </c>
      <c r="F3" s="75" t="s">
        <v>926</v>
      </c>
      <c r="G3" s="75" t="s">
        <v>927</v>
      </c>
      <c r="H3" s="75" t="s">
        <v>928</v>
      </c>
      <c r="I3" s="75"/>
      <c r="J3" s="70">
        <v>200</v>
      </c>
      <c r="K3" s="70" t="s">
        <v>990</v>
      </c>
      <c r="L3" s="70">
        <v>600</v>
      </c>
      <c r="M3" s="70">
        <v>500</v>
      </c>
      <c r="N3" s="70"/>
      <c r="O3" s="70"/>
      <c r="P3" s="71">
        <v>2500</v>
      </c>
      <c r="Q3" s="71"/>
      <c r="R3" s="70"/>
      <c r="S3" s="71">
        <v>237500</v>
      </c>
      <c r="T3" s="71"/>
      <c r="U3" s="71"/>
    </row>
    <row r="4" spans="1:21" x14ac:dyDescent="0.35">
      <c r="A4">
        <v>2</v>
      </c>
      <c r="B4" t="s">
        <v>929</v>
      </c>
      <c r="C4" s="10">
        <v>2569</v>
      </c>
      <c r="D4" s="75" t="s">
        <v>9</v>
      </c>
      <c r="E4" s="75" t="s">
        <v>0</v>
      </c>
      <c r="F4" s="75" t="s">
        <v>930</v>
      </c>
      <c r="G4" s="75" t="s">
        <v>931</v>
      </c>
      <c r="H4" s="75" t="s">
        <v>932</v>
      </c>
      <c r="I4" s="75"/>
      <c r="J4" s="70">
        <v>100</v>
      </c>
      <c r="K4" s="70" t="s">
        <v>990</v>
      </c>
      <c r="L4" s="70">
        <v>600</v>
      </c>
      <c r="M4" s="70">
        <v>500</v>
      </c>
      <c r="N4" s="70">
        <v>120</v>
      </c>
      <c r="O4" s="70">
        <v>70</v>
      </c>
      <c r="P4" s="71">
        <v>3800</v>
      </c>
      <c r="Q4" s="71"/>
      <c r="R4" s="70"/>
      <c r="S4" s="71">
        <v>152000</v>
      </c>
      <c r="T4" s="71"/>
      <c r="U4" s="71"/>
    </row>
    <row r="5" spans="1:21" x14ac:dyDescent="0.35">
      <c r="A5">
        <v>3</v>
      </c>
      <c r="B5" t="s">
        <v>933</v>
      </c>
      <c r="C5" s="10">
        <v>2569</v>
      </c>
      <c r="D5" s="75" t="s">
        <v>9</v>
      </c>
      <c r="E5" s="75" t="s">
        <v>0</v>
      </c>
      <c r="F5" s="75" t="s">
        <v>930</v>
      </c>
      <c r="G5" s="75" t="s">
        <v>934</v>
      </c>
      <c r="H5" s="75" t="s">
        <v>935</v>
      </c>
      <c r="I5" s="75" t="s">
        <v>981</v>
      </c>
      <c r="J5" s="70">
        <v>300</v>
      </c>
      <c r="K5" s="70" t="s">
        <v>990</v>
      </c>
      <c r="L5" s="70">
        <v>600</v>
      </c>
      <c r="M5" s="70">
        <v>500</v>
      </c>
      <c r="N5" s="70">
        <v>120</v>
      </c>
      <c r="O5" s="70"/>
      <c r="P5" s="71">
        <v>3400</v>
      </c>
      <c r="Q5" s="71"/>
      <c r="R5" s="70"/>
      <c r="S5" s="76">
        <v>717880</v>
      </c>
      <c r="T5" s="71"/>
      <c r="U5" s="71"/>
    </row>
    <row r="6" spans="1:21" x14ac:dyDescent="0.35">
      <c r="A6">
        <v>4</v>
      </c>
      <c r="B6" t="s">
        <v>936</v>
      </c>
      <c r="C6" s="10">
        <v>2569</v>
      </c>
      <c r="D6" t="s">
        <v>9</v>
      </c>
      <c r="E6" t="s">
        <v>0</v>
      </c>
      <c r="F6" t="s">
        <v>930</v>
      </c>
      <c r="G6" t="s">
        <v>934</v>
      </c>
      <c r="H6" t="s">
        <v>935</v>
      </c>
      <c r="I6" t="s">
        <v>982</v>
      </c>
      <c r="J6" s="70">
        <v>260</v>
      </c>
      <c r="K6" s="70" t="s">
        <v>990</v>
      </c>
      <c r="L6" s="70">
        <v>600</v>
      </c>
      <c r="M6" s="70">
        <v>500</v>
      </c>
      <c r="N6" s="70">
        <v>120</v>
      </c>
      <c r="O6" s="70"/>
      <c r="P6" s="71">
        <v>3500</v>
      </c>
      <c r="Q6" s="71"/>
      <c r="R6" s="70"/>
      <c r="S6" s="76"/>
      <c r="T6" s="71"/>
      <c r="U6" s="71"/>
    </row>
    <row r="7" spans="1:21" x14ac:dyDescent="0.35">
      <c r="A7">
        <v>5</v>
      </c>
      <c r="B7" t="s">
        <v>937</v>
      </c>
      <c r="C7" s="10">
        <v>2569</v>
      </c>
      <c r="D7" t="s">
        <v>9</v>
      </c>
      <c r="E7" t="s">
        <v>0</v>
      </c>
      <c r="F7" t="s">
        <v>930</v>
      </c>
      <c r="G7" t="s">
        <v>934</v>
      </c>
      <c r="H7" t="s">
        <v>935</v>
      </c>
      <c r="I7" t="s">
        <v>983</v>
      </c>
      <c r="J7" s="70">
        <v>100</v>
      </c>
      <c r="K7" s="70" t="s">
        <v>990</v>
      </c>
      <c r="L7" s="70">
        <v>600</v>
      </c>
      <c r="M7" s="70">
        <v>500</v>
      </c>
      <c r="N7" s="70">
        <v>120</v>
      </c>
      <c r="O7" s="70"/>
      <c r="P7" s="71">
        <v>3900</v>
      </c>
      <c r="Q7" s="71"/>
      <c r="R7" s="70"/>
      <c r="S7" s="76"/>
      <c r="T7" s="71"/>
      <c r="U7" s="71"/>
    </row>
    <row r="8" spans="1:21" x14ac:dyDescent="0.35">
      <c r="A8">
        <v>6</v>
      </c>
      <c r="B8" t="s">
        <v>665</v>
      </c>
      <c r="C8" s="10">
        <v>2569</v>
      </c>
      <c r="D8" t="s">
        <v>9</v>
      </c>
      <c r="E8" t="s">
        <v>0</v>
      </c>
      <c r="F8" t="s">
        <v>930</v>
      </c>
      <c r="G8" t="s">
        <v>934</v>
      </c>
      <c r="H8" t="s">
        <v>935</v>
      </c>
      <c r="I8" t="s">
        <v>984</v>
      </c>
      <c r="J8" s="70">
        <v>25</v>
      </c>
      <c r="K8" s="70" t="s">
        <v>990</v>
      </c>
      <c r="L8" s="70">
        <v>600</v>
      </c>
      <c r="M8" s="70">
        <v>500</v>
      </c>
      <c r="N8" s="70"/>
      <c r="O8" s="70"/>
      <c r="P8" s="71">
        <v>3700</v>
      </c>
      <c r="Q8" s="71"/>
      <c r="R8" s="70"/>
      <c r="S8" s="76"/>
      <c r="T8" s="71"/>
      <c r="U8" s="71"/>
    </row>
    <row r="9" spans="1:21" x14ac:dyDescent="0.35">
      <c r="A9">
        <v>7</v>
      </c>
      <c r="B9" t="s">
        <v>526</v>
      </c>
      <c r="C9" s="10">
        <v>2569</v>
      </c>
      <c r="D9" s="75" t="s">
        <v>9</v>
      </c>
      <c r="E9" s="75" t="s">
        <v>0</v>
      </c>
      <c r="F9" s="75" t="s">
        <v>930</v>
      </c>
      <c r="G9" s="75" t="s">
        <v>938</v>
      </c>
      <c r="H9" s="75" t="s">
        <v>939</v>
      </c>
      <c r="I9" s="75"/>
      <c r="J9" s="70">
        <v>300</v>
      </c>
      <c r="K9" s="70" t="s">
        <v>990</v>
      </c>
      <c r="L9" s="72">
        <v>600</v>
      </c>
      <c r="M9" s="70">
        <v>500</v>
      </c>
      <c r="N9" s="70">
        <v>120</v>
      </c>
      <c r="O9" s="70"/>
      <c r="P9" s="71">
        <v>3650</v>
      </c>
      <c r="Q9" s="71"/>
      <c r="R9" s="72"/>
      <c r="S9" s="71">
        <v>511000</v>
      </c>
      <c r="T9" s="71"/>
      <c r="U9" s="71"/>
    </row>
    <row r="10" spans="1:21" x14ac:dyDescent="0.35">
      <c r="A10">
        <v>8</v>
      </c>
      <c r="B10" t="s">
        <v>940</v>
      </c>
      <c r="C10" s="10">
        <v>2569</v>
      </c>
      <c r="D10" s="75" t="s">
        <v>9</v>
      </c>
      <c r="E10" s="75" t="s">
        <v>0</v>
      </c>
      <c r="F10" s="75" t="s">
        <v>941</v>
      </c>
      <c r="G10" s="75" t="s">
        <v>942</v>
      </c>
      <c r="H10" s="75" t="s">
        <v>943</v>
      </c>
      <c r="I10" s="75"/>
      <c r="J10" s="70">
        <v>90</v>
      </c>
      <c r="K10" s="70" t="s">
        <v>990</v>
      </c>
      <c r="L10" s="70">
        <v>1000</v>
      </c>
      <c r="M10" s="70">
        <v>500</v>
      </c>
      <c r="N10" s="70" t="s">
        <v>944</v>
      </c>
      <c r="O10" s="70">
        <v>100</v>
      </c>
      <c r="P10" s="71"/>
      <c r="Q10" s="71"/>
      <c r="R10" s="70"/>
      <c r="S10" s="71">
        <v>115000</v>
      </c>
      <c r="T10" s="71"/>
      <c r="U10" s="71"/>
    </row>
    <row r="11" spans="1:21" x14ac:dyDescent="0.35">
      <c r="A11">
        <v>9</v>
      </c>
      <c r="B11" t="s">
        <v>945</v>
      </c>
      <c r="C11" s="10">
        <v>2569</v>
      </c>
      <c r="D11" s="75" t="s">
        <v>9</v>
      </c>
      <c r="E11" s="75" t="s">
        <v>0</v>
      </c>
      <c r="F11" s="75" t="s">
        <v>941</v>
      </c>
      <c r="G11" s="75" t="s">
        <v>946</v>
      </c>
      <c r="H11" s="75" t="s">
        <v>947</v>
      </c>
      <c r="I11" s="75"/>
      <c r="J11" s="70">
        <v>300</v>
      </c>
      <c r="K11" s="70" t="s">
        <v>990</v>
      </c>
      <c r="L11" s="70">
        <v>600</v>
      </c>
      <c r="M11" s="70"/>
      <c r="N11" s="70"/>
      <c r="O11" s="70"/>
      <c r="P11" s="71">
        <v>4600</v>
      </c>
      <c r="Q11" s="71">
        <v>4600</v>
      </c>
      <c r="R11" s="70">
        <v>132000</v>
      </c>
      <c r="S11" s="71">
        <v>660000</v>
      </c>
      <c r="T11" s="71">
        <v>5</v>
      </c>
      <c r="U11" s="71"/>
    </row>
    <row r="12" spans="1:21" x14ac:dyDescent="0.35">
      <c r="A12">
        <v>10</v>
      </c>
      <c r="B12" t="s">
        <v>948</v>
      </c>
      <c r="C12" s="10">
        <v>2569</v>
      </c>
      <c r="D12" s="75" t="s">
        <v>9</v>
      </c>
      <c r="E12" s="75" t="s">
        <v>0</v>
      </c>
      <c r="F12" s="75" t="s">
        <v>941</v>
      </c>
      <c r="G12" s="75" t="s">
        <v>629</v>
      </c>
      <c r="H12" s="75" t="s">
        <v>630</v>
      </c>
      <c r="I12" s="75"/>
      <c r="J12" s="70">
        <v>10</v>
      </c>
      <c r="K12" s="70" t="s">
        <v>990</v>
      </c>
      <c r="L12" s="70"/>
      <c r="M12" s="70"/>
      <c r="N12" s="70">
        <v>240</v>
      </c>
      <c r="O12" s="70"/>
      <c r="P12" s="71">
        <v>17340</v>
      </c>
      <c r="Q12" s="71"/>
      <c r="R12" s="70"/>
      <c r="S12" s="71">
        <v>63400</v>
      </c>
      <c r="T12" s="71"/>
      <c r="U12" s="71"/>
    </row>
    <row r="13" spans="1:21" x14ac:dyDescent="0.35">
      <c r="A13">
        <v>11</v>
      </c>
      <c r="B13" t="s">
        <v>696</v>
      </c>
      <c r="C13" s="10">
        <v>2569</v>
      </c>
      <c r="D13" t="s">
        <v>9</v>
      </c>
      <c r="E13" t="s">
        <v>0</v>
      </c>
      <c r="F13" t="s">
        <v>941</v>
      </c>
      <c r="G13" t="s">
        <v>949</v>
      </c>
      <c r="H13" t="s">
        <v>950</v>
      </c>
      <c r="J13" s="70">
        <v>20</v>
      </c>
      <c r="K13" s="70" t="s">
        <v>990</v>
      </c>
      <c r="L13" s="70">
        <v>500</v>
      </c>
      <c r="M13" s="70">
        <v>500</v>
      </c>
      <c r="N13" s="70">
        <v>120</v>
      </c>
      <c r="O13" s="70"/>
      <c r="P13" s="71">
        <v>2250</v>
      </c>
      <c r="Q13" s="71"/>
      <c r="R13" s="70"/>
      <c r="S13" s="71"/>
      <c r="T13" s="71"/>
      <c r="U13" s="71"/>
    </row>
    <row r="14" spans="1:21" x14ac:dyDescent="0.35">
      <c r="A14">
        <v>12</v>
      </c>
      <c r="B14" t="s">
        <v>951</v>
      </c>
      <c r="C14" s="10">
        <v>2569</v>
      </c>
      <c r="D14" s="75" t="s">
        <v>9</v>
      </c>
      <c r="E14" s="75" t="s">
        <v>0</v>
      </c>
      <c r="F14" s="75" t="s">
        <v>941</v>
      </c>
      <c r="G14" s="75" t="s">
        <v>6</v>
      </c>
      <c r="H14" s="75" t="s">
        <v>7</v>
      </c>
      <c r="I14" s="75" t="s">
        <v>979</v>
      </c>
      <c r="J14" s="70">
        <v>80</v>
      </c>
      <c r="K14" s="70" t="s">
        <v>990</v>
      </c>
      <c r="L14" s="70">
        <v>500</v>
      </c>
      <c r="M14" s="70">
        <v>500</v>
      </c>
      <c r="N14" s="70">
        <v>120</v>
      </c>
      <c r="O14" s="70"/>
      <c r="P14" s="71">
        <v>2250</v>
      </c>
      <c r="Q14" s="71">
        <v>2250</v>
      </c>
      <c r="R14" s="70">
        <v>45000</v>
      </c>
      <c r="S14" s="76">
        <v>135000</v>
      </c>
      <c r="T14" s="71">
        <v>2</v>
      </c>
      <c r="U14" s="71"/>
    </row>
    <row r="15" spans="1:21" x14ac:dyDescent="0.35">
      <c r="A15">
        <v>13</v>
      </c>
      <c r="B15" t="s">
        <v>952</v>
      </c>
      <c r="C15" s="10">
        <v>2569</v>
      </c>
      <c r="D15" s="75" t="s">
        <v>9</v>
      </c>
      <c r="E15" s="75" t="s">
        <v>0</v>
      </c>
      <c r="F15" s="75" t="s">
        <v>941</v>
      </c>
      <c r="G15" s="75" t="s">
        <v>6</v>
      </c>
      <c r="H15" s="75" t="s">
        <v>7</v>
      </c>
      <c r="I15" s="75" t="s">
        <v>980</v>
      </c>
      <c r="J15" s="70">
        <v>20</v>
      </c>
      <c r="K15" s="70" t="s">
        <v>990</v>
      </c>
      <c r="L15" s="70">
        <v>500</v>
      </c>
      <c r="M15" s="70">
        <v>500</v>
      </c>
      <c r="N15" s="70">
        <v>120</v>
      </c>
      <c r="O15" s="70"/>
      <c r="P15" s="71">
        <v>2250</v>
      </c>
      <c r="Q15" s="71">
        <v>2250</v>
      </c>
      <c r="R15" s="70">
        <v>45000</v>
      </c>
      <c r="S15" s="76"/>
      <c r="T15" s="71">
        <v>1</v>
      </c>
      <c r="U15" s="71"/>
    </row>
    <row r="16" spans="1:21" x14ac:dyDescent="0.35">
      <c r="A16">
        <v>14</v>
      </c>
      <c r="B16" t="s">
        <v>658</v>
      </c>
      <c r="C16" s="10">
        <v>2569</v>
      </c>
      <c r="D16" s="75" t="s">
        <v>9</v>
      </c>
      <c r="E16" s="75" t="s">
        <v>0</v>
      </c>
      <c r="F16" s="75" t="s">
        <v>941</v>
      </c>
      <c r="G16" s="75" t="s">
        <v>953</v>
      </c>
      <c r="H16" s="75" t="s">
        <v>954</v>
      </c>
      <c r="I16" s="75"/>
      <c r="J16" s="70">
        <v>20</v>
      </c>
      <c r="K16" s="70" t="s">
        <v>990</v>
      </c>
      <c r="L16" s="70">
        <v>500</v>
      </c>
      <c r="M16" s="70">
        <v>500</v>
      </c>
      <c r="N16" s="70">
        <v>120</v>
      </c>
      <c r="O16" s="70"/>
      <c r="P16" s="71">
        <v>2590</v>
      </c>
      <c r="Q16" s="71">
        <v>2590</v>
      </c>
      <c r="R16" s="70">
        <v>51800</v>
      </c>
      <c r="S16" s="71">
        <v>51800</v>
      </c>
      <c r="T16" s="71">
        <v>1</v>
      </c>
      <c r="U16" s="71"/>
    </row>
    <row r="17" spans="1:21" x14ac:dyDescent="0.35">
      <c r="A17">
        <v>15</v>
      </c>
      <c r="B17" t="s">
        <v>638</v>
      </c>
      <c r="C17" s="10">
        <v>2569</v>
      </c>
      <c r="D17" s="75" t="s">
        <v>9</v>
      </c>
      <c r="E17" s="75" t="s">
        <v>0</v>
      </c>
      <c r="F17" s="75" t="s">
        <v>941</v>
      </c>
      <c r="G17" s="75" t="s">
        <v>971</v>
      </c>
      <c r="H17" s="75" t="s">
        <v>972</v>
      </c>
      <c r="I17" s="75"/>
      <c r="J17" s="70">
        <v>60</v>
      </c>
      <c r="K17" s="70" t="s">
        <v>990</v>
      </c>
      <c r="L17" s="70">
        <v>500</v>
      </c>
      <c r="M17" s="70">
        <v>500</v>
      </c>
      <c r="N17" s="70">
        <v>120</v>
      </c>
      <c r="O17" s="70"/>
      <c r="P17" s="71">
        <v>2600</v>
      </c>
      <c r="Q17" s="71">
        <v>2600</v>
      </c>
      <c r="R17" s="70">
        <v>52000</v>
      </c>
      <c r="S17" s="71">
        <v>104000</v>
      </c>
      <c r="T17" s="71">
        <v>2</v>
      </c>
      <c r="U17" s="71"/>
    </row>
    <row r="18" spans="1:21" x14ac:dyDescent="0.35">
      <c r="A18">
        <v>16</v>
      </c>
      <c r="B18" t="s">
        <v>955</v>
      </c>
      <c r="C18" s="10">
        <v>2569</v>
      </c>
      <c r="D18" s="75" t="s">
        <v>9</v>
      </c>
      <c r="E18" s="75" t="s">
        <v>0</v>
      </c>
      <c r="F18" s="75" t="s">
        <v>941</v>
      </c>
      <c r="G18" s="75" t="s">
        <v>956</v>
      </c>
      <c r="H18" s="75" t="s">
        <v>957</v>
      </c>
      <c r="I18" s="75"/>
      <c r="J18" s="70">
        <v>20</v>
      </c>
      <c r="K18" s="70" t="s">
        <v>990</v>
      </c>
      <c r="L18" s="70">
        <v>500</v>
      </c>
      <c r="M18" s="70">
        <v>500</v>
      </c>
      <c r="N18" s="70">
        <v>120</v>
      </c>
      <c r="O18" s="70"/>
      <c r="P18" s="71">
        <v>3200</v>
      </c>
      <c r="Q18" s="71">
        <v>2700</v>
      </c>
      <c r="R18" s="70">
        <v>54000</v>
      </c>
      <c r="S18" s="71">
        <v>54000</v>
      </c>
      <c r="T18" s="71"/>
      <c r="U18" s="71"/>
    </row>
    <row r="19" spans="1:21" x14ac:dyDescent="0.35">
      <c r="A19">
        <v>17</v>
      </c>
      <c r="B19" t="s">
        <v>958</v>
      </c>
      <c r="C19" s="10">
        <v>2569</v>
      </c>
      <c r="D19" s="75" t="s">
        <v>9</v>
      </c>
      <c r="E19" s="75" t="s">
        <v>959</v>
      </c>
      <c r="F19" s="75" t="s">
        <v>960</v>
      </c>
      <c r="G19" s="75" t="s">
        <v>961</v>
      </c>
      <c r="H19" s="75" t="s">
        <v>962</v>
      </c>
      <c r="I19" s="75"/>
      <c r="J19" s="70">
        <v>400</v>
      </c>
      <c r="K19" s="70" t="s">
        <v>991</v>
      </c>
      <c r="L19" s="70">
        <v>600</v>
      </c>
      <c r="M19" s="70">
        <v>500</v>
      </c>
      <c r="N19" s="70">
        <v>120</v>
      </c>
      <c r="O19" s="70"/>
      <c r="P19" s="71">
        <v>3850</v>
      </c>
      <c r="Q19" s="71"/>
      <c r="R19" s="70"/>
      <c r="S19" s="71">
        <v>770000</v>
      </c>
      <c r="T19" s="71"/>
      <c r="U19" s="71"/>
    </row>
    <row r="20" spans="1:21" x14ac:dyDescent="0.35">
      <c r="A20">
        <v>18</v>
      </c>
      <c r="B20" t="s">
        <v>963</v>
      </c>
      <c r="C20" s="10">
        <v>2569</v>
      </c>
      <c r="D20" s="75" t="s">
        <v>9</v>
      </c>
      <c r="E20" s="75" t="s">
        <v>959</v>
      </c>
      <c r="F20" s="75" t="s">
        <v>960</v>
      </c>
      <c r="G20" s="75" t="s">
        <v>964</v>
      </c>
      <c r="H20" s="75" t="s">
        <v>973</v>
      </c>
      <c r="I20" s="75"/>
      <c r="J20" s="70">
        <v>450</v>
      </c>
      <c r="K20" s="70" t="s">
        <v>991</v>
      </c>
      <c r="L20" s="70">
        <v>600</v>
      </c>
      <c r="M20" s="70">
        <v>500</v>
      </c>
      <c r="N20" s="70">
        <v>120</v>
      </c>
      <c r="O20" s="70"/>
      <c r="P20" s="71">
        <v>4500</v>
      </c>
      <c r="Q20" s="71"/>
      <c r="R20" s="70"/>
      <c r="S20" s="71">
        <v>1012500</v>
      </c>
      <c r="T20" s="71"/>
      <c r="U20" s="71"/>
    </row>
    <row r="21" spans="1:21" x14ac:dyDescent="0.35">
      <c r="A21">
        <v>19</v>
      </c>
      <c r="B21" t="s">
        <v>966</v>
      </c>
      <c r="C21" s="10">
        <v>2569</v>
      </c>
      <c r="D21" s="75" t="s">
        <v>9</v>
      </c>
      <c r="E21" s="75" t="s">
        <v>959</v>
      </c>
      <c r="F21" s="75" t="s">
        <v>960</v>
      </c>
      <c r="G21" s="75" t="s">
        <v>964</v>
      </c>
      <c r="H21" s="75" t="s">
        <v>965</v>
      </c>
      <c r="I21" s="75" t="s">
        <v>985</v>
      </c>
      <c r="J21" s="70">
        <v>100</v>
      </c>
      <c r="K21" s="70" t="s">
        <v>990</v>
      </c>
      <c r="L21" s="70">
        <v>600</v>
      </c>
      <c r="M21" s="70">
        <v>500</v>
      </c>
      <c r="N21" s="70">
        <v>120</v>
      </c>
      <c r="O21" s="70"/>
      <c r="P21" s="71">
        <v>3400</v>
      </c>
      <c r="Q21" s="71"/>
      <c r="R21" s="70"/>
      <c r="S21" s="76">
        <v>526000</v>
      </c>
      <c r="T21" s="71"/>
      <c r="U21" s="71"/>
    </row>
    <row r="22" spans="1:21" x14ac:dyDescent="0.35">
      <c r="A22">
        <v>20</v>
      </c>
      <c r="B22" t="s">
        <v>967</v>
      </c>
      <c r="C22" s="10">
        <v>2569</v>
      </c>
      <c r="D22" t="s">
        <v>9</v>
      </c>
      <c r="E22" t="s">
        <v>959</v>
      </c>
      <c r="F22" t="s">
        <v>960</v>
      </c>
      <c r="G22" t="s">
        <v>964</v>
      </c>
      <c r="H22" t="s">
        <v>965</v>
      </c>
      <c r="I22" t="s">
        <v>986</v>
      </c>
      <c r="J22" s="70">
        <v>200</v>
      </c>
      <c r="K22" s="70" t="s">
        <v>991</v>
      </c>
      <c r="L22" s="70">
        <v>600</v>
      </c>
      <c r="M22" s="70">
        <v>500</v>
      </c>
      <c r="N22" s="70">
        <v>120</v>
      </c>
      <c r="O22" s="70"/>
      <c r="P22" s="71">
        <v>3900</v>
      </c>
      <c r="Q22" s="71"/>
      <c r="R22" s="70"/>
      <c r="S22" s="76"/>
      <c r="T22" s="71"/>
      <c r="U22" s="71"/>
    </row>
    <row r="23" spans="1:21" x14ac:dyDescent="0.35">
      <c r="A23">
        <v>21</v>
      </c>
      <c r="B23" t="s">
        <v>968</v>
      </c>
      <c r="C23" s="10">
        <v>2569</v>
      </c>
      <c r="D23" s="75" t="s">
        <v>9</v>
      </c>
      <c r="E23" s="75" t="s">
        <v>959</v>
      </c>
      <c r="F23" s="75" t="s">
        <v>960</v>
      </c>
      <c r="G23" s="75" t="s">
        <v>964</v>
      </c>
      <c r="H23" s="75" t="s">
        <v>974</v>
      </c>
      <c r="I23" s="75"/>
      <c r="J23" s="70">
        <v>300</v>
      </c>
      <c r="K23" s="70" t="s">
        <v>991</v>
      </c>
      <c r="L23" s="70">
        <v>600</v>
      </c>
      <c r="M23" s="70">
        <v>100</v>
      </c>
      <c r="N23" s="70">
        <v>120</v>
      </c>
      <c r="O23" s="70"/>
      <c r="P23" s="71">
        <v>3000</v>
      </c>
      <c r="Q23" s="71"/>
      <c r="R23" s="70"/>
      <c r="S23" s="71">
        <v>420000</v>
      </c>
      <c r="T23" s="71"/>
      <c r="U23" s="71"/>
    </row>
    <row r="24" spans="1:21" x14ac:dyDescent="0.35">
      <c r="A24">
        <v>22</v>
      </c>
      <c r="B24" t="s">
        <v>545</v>
      </c>
      <c r="C24" s="10">
        <v>2569</v>
      </c>
      <c r="D24" s="75" t="s">
        <v>9</v>
      </c>
      <c r="E24" s="75" t="s">
        <v>546</v>
      </c>
      <c r="F24" s="75" t="s">
        <v>975</v>
      </c>
      <c r="G24" s="75" t="s">
        <v>547</v>
      </c>
      <c r="H24" s="75" t="s">
        <v>548</v>
      </c>
      <c r="I24" s="75"/>
      <c r="J24" s="70">
        <v>640</v>
      </c>
      <c r="K24" s="70" t="s">
        <v>991</v>
      </c>
      <c r="L24" s="70">
        <v>1000</v>
      </c>
      <c r="M24" s="70">
        <v>1000</v>
      </c>
      <c r="N24" s="70">
        <v>120</v>
      </c>
      <c r="O24" s="70">
        <v>70</v>
      </c>
      <c r="P24" s="71">
        <v>4045</v>
      </c>
      <c r="Q24" s="71"/>
      <c r="R24" s="70"/>
      <c r="S24" s="71">
        <v>1456200</v>
      </c>
      <c r="T24" s="71"/>
      <c r="U24" s="71"/>
    </row>
    <row r="25" spans="1:21" x14ac:dyDescent="0.35">
      <c r="A25">
        <v>23</v>
      </c>
      <c r="B25" t="s">
        <v>639</v>
      </c>
      <c r="C25" s="10">
        <v>2569</v>
      </c>
      <c r="J25" s="70"/>
      <c r="K25" s="70"/>
      <c r="L25" s="70"/>
      <c r="M25" s="70"/>
      <c r="N25" s="70"/>
      <c r="O25" s="70"/>
      <c r="P25" s="71"/>
      <c r="Q25" s="71"/>
      <c r="R25" s="70"/>
      <c r="S25" s="71"/>
      <c r="T25" s="71"/>
      <c r="U25" s="71"/>
    </row>
    <row r="26" spans="1:21" x14ac:dyDescent="0.35">
      <c r="J26" s="70"/>
      <c r="K26" s="70"/>
      <c r="L26" s="70"/>
      <c r="M26" s="70"/>
      <c r="N26" s="70"/>
      <c r="O26" s="70"/>
      <c r="P26" s="71"/>
      <c r="Q26" s="71"/>
      <c r="R26" s="70"/>
      <c r="S26" s="71"/>
      <c r="T26" s="71"/>
      <c r="U26" s="71"/>
    </row>
    <row r="27" spans="1:21" x14ac:dyDescent="0.35">
      <c r="B27" t="s">
        <v>948</v>
      </c>
      <c r="C27" s="10">
        <v>2569</v>
      </c>
      <c r="D27" s="75" t="s">
        <v>976</v>
      </c>
      <c r="E27" s="75" t="s">
        <v>0</v>
      </c>
      <c r="F27" s="75" t="s">
        <v>941</v>
      </c>
      <c r="G27" s="75" t="s">
        <v>629</v>
      </c>
      <c r="H27" s="75" t="s">
        <v>977</v>
      </c>
      <c r="I27" s="75"/>
      <c r="J27" s="70"/>
      <c r="K27" s="70"/>
      <c r="L27" s="70"/>
      <c r="M27" s="70"/>
      <c r="N27" s="70"/>
      <c r="O27" s="70"/>
      <c r="P27" s="71"/>
      <c r="Q27" s="71"/>
      <c r="R27" s="70"/>
      <c r="S27" s="71">
        <v>110000</v>
      </c>
      <c r="T27" s="71"/>
      <c r="U27" s="71"/>
    </row>
    <row r="28" spans="1:21" x14ac:dyDescent="0.35">
      <c r="J28" s="70"/>
      <c r="K28" s="70"/>
      <c r="L28" s="70"/>
      <c r="M28" s="70"/>
      <c r="N28" s="70"/>
      <c r="O28" s="70"/>
      <c r="P28" s="71"/>
      <c r="Q28" s="71"/>
      <c r="R28" s="70"/>
      <c r="S28" s="71"/>
      <c r="T28" s="71"/>
      <c r="U28" s="71"/>
    </row>
    <row r="29" spans="1:21" x14ac:dyDescent="0.35">
      <c r="J29" s="70"/>
      <c r="K29" s="70"/>
      <c r="L29" s="70"/>
      <c r="M29" s="70"/>
      <c r="N29" s="70"/>
      <c r="O29" s="70"/>
      <c r="P29" s="71"/>
      <c r="Q29" s="71"/>
      <c r="R29" s="70"/>
      <c r="S29" s="71"/>
      <c r="T29" s="71"/>
      <c r="U29" s="71"/>
    </row>
    <row r="30" spans="1:21" x14ac:dyDescent="0.35">
      <c r="J30" s="70"/>
      <c r="K30" s="70"/>
      <c r="L30" s="70"/>
      <c r="M30" s="70"/>
      <c r="N30" s="70"/>
      <c r="O30" s="70"/>
      <c r="P30" s="71"/>
      <c r="Q30" s="71"/>
      <c r="R30" s="70"/>
      <c r="S30" s="71"/>
      <c r="T30" s="71"/>
      <c r="U30" s="71"/>
    </row>
    <row r="31" spans="1:21" s="53" customFormat="1" x14ac:dyDescent="0.35">
      <c r="B31" s="53" t="s">
        <v>481</v>
      </c>
      <c r="C31" s="55"/>
      <c r="J31" s="55"/>
      <c r="K31" s="55"/>
      <c r="L31" s="55"/>
      <c r="M31" s="55"/>
      <c r="N31" s="55"/>
      <c r="O31" s="55"/>
      <c r="R31" s="55"/>
    </row>
  </sheetData>
  <printOptions horizontalCentered="1"/>
  <pageMargins left="0.31496062992125984" right="0.31496062992125984" top="0.55118110236220474" bottom="0.35433070866141736" header="0.31496062992125984" footer="0.31496062992125984"/>
  <pageSetup paperSize="9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1139-B45B-48E6-87C3-7DFAE1A8A491}">
  <dimension ref="A2:M76"/>
  <sheetViews>
    <sheetView workbookViewId="0">
      <selection activeCell="C6" sqref="C6"/>
    </sheetView>
  </sheetViews>
  <sheetFormatPr defaultColWidth="9" defaultRowHeight="21" x14ac:dyDescent="0.35"/>
  <cols>
    <col min="1" max="1" width="5.875" style="1" customWidth="1"/>
    <col min="2" max="2" width="15.75" style="1" customWidth="1"/>
    <col min="3" max="3" width="23" style="1" customWidth="1"/>
    <col min="4" max="4" width="15.5" style="1" customWidth="1"/>
    <col min="5" max="5" width="9.25" style="1" bestFit="1" customWidth="1"/>
    <col min="6" max="7" width="9" style="1"/>
    <col min="8" max="10" width="12.375" style="1" customWidth="1"/>
    <col min="11" max="11" width="12" style="1" customWidth="1"/>
    <col min="12" max="12" width="15.25" style="2" customWidth="1"/>
    <col min="13" max="16384" width="9" style="1"/>
  </cols>
  <sheetData>
    <row r="2" spans="1:13" x14ac:dyDescent="0.35">
      <c r="A2" s="1" t="s">
        <v>11</v>
      </c>
      <c r="B2" s="1" t="s">
        <v>275</v>
      </c>
      <c r="C2" s="1" t="s">
        <v>12</v>
      </c>
      <c r="D2" s="1" t="s">
        <v>273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2" t="s">
        <v>20</v>
      </c>
      <c r="M2" s="3" t="s">
        <v>21</v>
      </c>
    </row>
    <row r="3" spans="1:13" x14ac:dyDescent="0.35">
      <c r="A3" s="1">
        <v>1</v>
      </c>
      <c r="B3" s="1" t="s">
        <v>274</v>
      </c>
      <c r="C3" s="1" t="s">
        <v>22</v>
      </c>
      <c r="E3" s="1" t="s">
        <v>23</v>
      </c>
      <c r="F3" s="1">
        <v>12</v>
      </c>
      <c r="G3" s="1" t="s">
        <v>24</v>
      </c>
      <c r="H3" s="1" t="s">
        <v>25</v>
      </c>
      <c r="I3" s="1" t="s">
        <v>26</v>
      </c>
      <c r="J3" s="1" t="s">
        <v>27</v>
      </c>
      <c r="M3" s="4" t="s">
        <v>28</v>
      </c>
    </row>
    <row r="4" spans="1:13" x14ac:dyDescent="0.35">
      <c r="A4" s="1">
        <v>2</v>
      </c>
      <c r="B4" s="1" t="s">
        <v>274</v>
      </c>
      <c r="C4" s="1" t="s">
        <v>29</v>
      </c>
      <c r="E4" s="1">
        <v>61</v>
      </c>
      <c r="F4" s="1">
        <v>10</v>
      </c>
      <c r="H4" s="1" t="s">
        <v>30</v>
      </c>
      <c r="I4" s="1" t="s">
        <v>31</v>
      </c>
      <c r="J4" s="1" t="s">
        <v>32</v>
      </c>
      <c r="M4" s="4" t="s">
        <v>28</v>
      </c>
    </row>
    <row r="5" spans="1:13" x14ac:dyDescent="0.35">
      <c r="A5" s="1">
        <v>3</v>
      </c>
      <c r="B5" s="1" t="s">
        <v>276</v>
      </c>
      <c r="C5" s="1" t="s">
        <v>33</v>
      </c>
      <c r="E5" s="1" t="s">
        <v>34</v>
      </c>
      <c r="F5" s="1">
        <v>1</v>
      </c>
      <c r="H5" s="1" t="s">
        <v>35</v>
      </c>
      <c r="I5" s="1" t="s">
        <v>26</v>
      </c>
      <c r="J5" s="1" t="s">
        <v>27</v>
      </c>
      <c r="M5" s="4" t="s">
        <v>28</v>
      </c>
    </row>
    <row r="6" spans="1:13" x14ac:dyDescent="0.35">
      <c r="A6" s="1">
        <v>4</v>
      </c>
      <c r="C6" s="1" t="s">
        <v>36</v>
      </c>
      <c r="E6" s="1" t="s">
        <v>37</v>
      </c>
      <c r="F6" s="1">
        <v>9</v>
      </c>
      <c r="H6" s="1" t="s">
        <v>38</v>
      </c>
      <c r="I6" s="1" t="s">
        <v>39</v>
      </c>
      <c r="J6" s="1" t="s">
        <v>40</v>
      </c>
      <c r="M6" s="4" t="s">
        <v>28</v>
      </c>
    </row>
    <row r="7" spans="1:13" x14ac:dyDescent="0.35">
      <c r="A7" s="1">
        <v>5</v>
      </c>
      <c r="C7" s="1" t="s">
        <v>41</v>
      </c>
      <c r="E7" s="1" t="s">
        <v>42</v>
      </c>
      <c r="F7" s="1">
        <v>3</v>
      </c>
      <c r="H7" s="1" t="s">
        <v>43</v>
      </c>
      <c r="I7" s="1" t="s">
        <v>43</v>
      </c>
      <c r="J7" s="1" t="s">
        <v>27</v>
      </c>
      <c r="M7" s="4" t="s">
        <v>28</v>
      </c>
    </row>
    <row r="8" spans="1:13" x14ac:dyDescent="0.35">
      <c r="A8" s="1">
        <v>6</v>
      </c>
      <c r="B8" s="1" t="s">
        <v>277</v>
      </c>
      <c r="C8" s="1" t="s">
        <v>44</v>
      </c>
      <c r="E8" s="1" t="s">
        <v>45</v>
      </c>
      <c r="F8" s="1">
        <v>1</v>
      </c>
      <c r="H8" s="1" t="s">
        <v>46</v>
      </c>
      <c r="I8" s="1" t="s">
        <v>47</v>
      </c>
      <c r="J8" s="1" t="s">
        <v>48</v>
      </c>
      <c r="M8" s="4" t="s">
        <v>28</v>
      </c>
    </row>
    <row r="9" spans="1:13" x14ac:dyDescent="0.35">
      <c r="A9" s="1">
        <v>7</v>
      </c>
      <c r="C9" s="1" t="s">
        <v>49</v>
      </c>
      <c r="E9" s="1" t="s">
        <v>50</v>
      </c>
      <c r="F9" s="1">
        <v>4</v>
      </c>
      <c r="H9" s="1" t="s">
        <v>51</v>
      </c>
      <c r="I9" s="1" t="s">
        <v>26</v>
      </c>
      <c r="J9" s="1" t="s">
        <v>27</v>
      </c>
      <c r="K9" s="1">
        <v>20130</v>
      </c>
      <c r="L9" s="2">
        <v>819339619</v>
      </c>
    </row>
    <row r="10" spans="1:13" x14ac:dyDescent="0.35">
      <c r="A10" s="1">
        <v>8</v>
      </c>
      <c r="C10" s="1" t="s">
        <v>52</v>
      </c>
      <c r="E10" s="1" t="s">
        <v>53</v>
      </c>
      <c r="F10" s="1">
        <v>3</v>
      </c>
      <c r="H10" s="1" t="s">
        <v>54</v>
      </c>
      <c r="I10" s="1" t="s">
        <v>26</v>
      </c>
      <c r="J10" s="1" t="s">
        <v>27</v>
      </c>
      <c r="M10" s="4" t="s">
        <v>28</v>
      </c>
    </row>
    <row r="11" spans="1:13" x14ac:dyDescent="0.35">
      <c r="A11" s="1">
        <v>9</v>
      </c>
      <c r="C11" s="1" t="s">
        <v>55</v>
      </c>
      <c r="E11" s="1" t="s">
        <v>56</v>
      </c>
      <c r="F11" s="1">
        <v>9</v>
      </c>
      <c r="H11" s="1" t="s">
        <v>57</v>
      </c>
      <c r="I11" s="1" t="s">
        <v>58</v>
      </c>
      <c r="J11" s="1" t="s">
        <v>59</v>
      </c>
      <c r="M11" s="4" t="s">
        <v>28</v>
      </c>
    </row>
    <row r="12" spans="1:13" x14ac:dyDescent="0.35">
      <c r="A12" s="1">
        <v>10</v>
      </c>
      <c r="B12" s="1" t="s">
        <v>276</v>
      </c>
      <c r="C12" s="1" t="s">
        <v>60</v>
      </c>
      <c r="E12" s="1" t="s">
        <v>61</v>
      </c>
      <c r="F12" s="1" t="s">
        <v>62</v>
      </c>
      <c r="H12" s="1" t="s">
        <v>63</v>
      </c>
      <c r="I12" s="1" t="s">
        <v>63</v>
      </c>
      <c r="J12" s="1" t="s">
        <v>64</v>
      </c>
      <c r="K12" s="1">
        <v>10140</v>
      </c>
      <c r="L12" s="2">
        <v>893294632</v>
      </c>
      <c r="M12" s="4" t="s">
        <v>28</v>
      </c>
    </row>
    <row r="13" spans="1:13" x14ac:dyDescent="0.35">
      <c r="A13" s="1">
        <v>11</v>
      </c>
      <c r="B13" s="1" t="s">
        <v>277</v>
      </c>
      <c r="C13" s="1" t="s">
        <v>65</v>
      </c>
      <c r="E13" s="1" t="s">
        <v>42</v>
      </c>
      <c r="F13" s="1" t="s">
        <v>66</v>
      </c>
      <c r="H13" s="1" t="s">
        <v>43</v>
      </c>
      <c r="I13" s="1" t="s">
        <v>43</v>
      </c>
      <c r="J13" s="1" t="s">
        <v>27</v>
      </c>
      <c r="K13" s="1">
        <v>20180</v>
      </c>
      <c r="L13" s="2">
        <v>897486111</v>
      </c>
      <c r="M13" s="4" t="s">
        <v>28</v>
      </c>
    </row>
    <row r="14" spans="1:13" x14ac:dyDescent="0.35">
      <c r="A14" s="1">
        <v>12</v>
      </c>
      <c r="B14" s="1" t="s">
        <v>276</v>
      </c>
      <c r="C14" s="1" t="s">
        <v>67</v>
      </c>
      <c r="E14" s="1">
        <v>1728</v>
      </c>
      <c r="F14" s="1">
        <v>8</v>
      </c>
      <c r="H14" s="1" t="s">
        <v>68</v>
      </c>
      <c r="I14" s="1" t="s">
        <v>69</v>
      </c>
      <c r="J14" s="1" t="s">
        <v>40</v>
      </c>
      <c r="K14" s="1">
        <v>10280</v>
      </c>
      <c r="L14" s="2">
        <v>819133383</v>
      </c>
      <c r="M14" s="4" t="s">
        <v>28</v>
      </c>
    </row>
    <row r="15" spans="1:13" x14ac:dyDescent="0.35">
      <c r="A15" s="1">
        <v>13</v>
      </c>
      <c r="C15" s="1" t="s">
        <v>70</v>
      </c>
      <c r="E15" s="1" t="s">
        <v>71</v>
      </c>
      <c r="F15" s="1">
        <v>2</v>
      </c>
      <c r="H15" s="1" t="s">
        <v>72</v>
      </c>
      <c r="I15" s="1" t="s">
        <v>26</v>
      </c>
      <c r="J15" s="1" t="s">
        <v>27</v>
      </c>
      <c r="K15" s="1">
        <v>20000</v>
      </c>
      <c r="L15" s="2">
        <v>861446579</v>
      </c>
      <c r="M15" s="4" t="s">
        <v>28</v>
      </c>
    </row>
    <row r="16" spans="1:13" x14ac:dyDescent="0.35">
      <c r="A16" s="1">
        <v>14</v>
      </c>
      <c r="C16" s="1" t="s">
        <v>73</v>
      </c>
      <c r="E16" s="1" t="s">
        <v>74</v>
      </c>
      <c r="F16" s="1">
        <v>1</v>
      </c>
      <c r="H16" s="1" t="s">
        <v>75</v>
      </c>
      <c r="I16" s="1" t="s">
        <v>76</v>
      </c>
      <c r="J16" s="1" t="s">
        <v>48</v>
      </c>
      <c r="K16" s="1">
        <v>12000</v>
      </c>
      <c r="L16" s="2">
        <v>899412459</v>
      </c>
    </row>
    <row r="17" spans="1:13" x14ac:dyDescent="0.35">
      <c r="A17" s="1">
        <v>15</v>
      </c>
      <c r="B17" s="1" t="s">
        <v>277</v>
      </c>
      <c r="C17" s="1" t="s">
        <v>77</v>
      </c>
      <c r="E17" s="1" t="s">
        <v>78</v>
      </c>
      <c r="F17" s="1">
        <v>8</v>
      </c>
      <c r="H17" s="1" t="s">
        <v>79</v>
      </c>
      <c r="I17" s="1" t="s">
        <v>80</v>
      </c>
      <c r="J17" s="1" t="s">
        <v>81</v>
      </c>
      <c r="K17" s="1">
        <v>11000</v>
      </c>
      <c r="L17" s="2">
        <v>863830849</v>
      </c>
      <c r="M17" s="4" t="s">
        <v>28</v>
      </c>
    </row>
    <row r="18" spans="1:13" x14ac:dyDescent="0.35">
      <c r="A18" s="1">
        <v>16</v>
      </c>
      <c r="B18" s="1" t="s">
        <v>277</v>
      </c>
      <c r="C18" s="1" t="s">
        <v>82</v>
      </c>
      <c r="E18" s="5" t="s">
        <v>83</v>
      </c>
      <c r="F18" s="1">
        <v>1</v>
      </c>
      <c r="G18" s="1" t="s">
        <v>84</v>
      </c>
      <c r="H18" s="1" t="s">
        <v>85</v>
      </c>
      <c r="I18" s="1" t="s">
        <v>80</v>
      </c>
      <c r="J18" s="1" t="s">
        <v>81</v>
      </c>
      <c r="K18" s="1">
        <v>11000</v>
      </c>
      <c r="L18" s="2">
        <v>642019019</v>
      </c>
      <c r="M18" s="4" t="s">
        <v>28</v>
      </c>
    </row>
    <row r="19" spans="1:13" x14ac:dyDescent="0.35">
      <c r="A19" s="1">
        <v>17</v>
      </c>
      <c r="C19" s="1" t="s">
        <v>86</v>
      </c>
      <c r="E19" s="1" t="s">
        <v>87</v>
      </c>
      <c r="F19" s="1">
        <v>7</v>
      </c>
      <c r="H19" s="1" t="s">
        <v>88</v>
      </c>
      <c r="I19" s="1" t="s">
        <v>89</v>
      </c>
      <c r="J19" s="1" t="s">
        <v>90</v>
      </c>
      <c r="K19" s="1">
        <v>63120</v>
      </c>
      <c r="L19" s="2">
        <v>804258188</v>
      </c>
      <c r="M19" s="4" t="s">
        <v>28</v>
      </c>
    </row>
    <row r="20" spans="1:13" x14ac:dyDescent="0.35">
      <c r="A20" s="1">
        <v>18</v>
      </c>
      <c r="C20" s="1" t="s">
        <v>91</v>
      </c>
      <c r="E20" s="1">
        <v>9</v>
      </c>
      <c r="F20" s="1">
        <v>6</v>
      </c>
      <c r="H20" s="1" t="s">
        <v>92</v>
      </c>
      <c r="I20" s="1" t="s">
        <v>93</v>
      </c>
      <c r="J20" s="1" t="s">
        <v>94</v>
      </c>
      <c r="M20" s="4" t="s">
        <v>28</v>
      </c>
    </row>
    <row r="21" spans="1:13" x14ac:dyDescent="0.35">
      <c r="A21" s="1">
        <v>19</v>
      </c>
      <c r="B21" s="1" t="s">
        <v>276</v>
      </c>
      <c r="C21" s="1" t="s">
        <v>95</v>
      </c>
      <c r="E21" s="1" t="s">
        <v>96</v>
      </c>
      <c r="F21" s="1">
        <v>10</v>
      </c>
      <c r="H21" s="1" t="s">
        <v>97</v>
      </c>
      <c r="I21" s="1" t="s">
        <v>98</v>
      </c>
      <c r="J21" s="1" t="s">
        <v>27</v>
      </c>
      <c r="K21" s="1">
        <v>20230</v>
      </c>
      <c r="L21" s="2">
        <v>817574339</v>
      </c>
      <c r="M21" s="4" t="s">
        <v>28</v>
      </c>
    </row>
    <row r="22" spans="1:13" x14ac:dyDescent="0.35">
      <c r="A22" s="1">
        <v>21</v>
      </c>
      <c r="C22" s="1" t="s">
        <v>99</v>
      </c>
      <c r="E22" s="1" t="s">
        <v>24</v>
      </c>
      <c r="F22" s="1" t="s">
        <v>24</v>
      </c>
      <c r="G22" s="1" t="s">
        <v>24</v>
      </c>
      <c r="H22" s="1" t="s">
        <v>24</v>
      </c>
      <c r="I22" s="1" t="s">
        <v>24</v>
      </c>
      <c r="J22" s="1" t="s">
        <v>24</v>
      </c>
      <c r="K22" s="1" t="s">
        <v>24</v>
      </c>
      <c r="M22" s="4" t="s">
        <v>28</v>
      </c>
    </row>
    <row r="23" spans="1:13" x14ac:dyDescent="0.35">
      <c r="A23" s="1">
        <v>22</v>
      </c>
      <c r="C23" s="1" t="s">
        <v>100</v>
      </c>
      <c r="E23" s="1" t="s">
        <v>101</v>
      </c>
      <c r="F23" s="1" t="s">
        <v>102</v>
      </c>
      <c r="H23" s="1" t="s">
        <v>103</v>
      </c>
      <c r="I23" s="1" t="s">
        <v>104</v>
      </c>
      <c r="J23" s="1" t="s">
        <v>64</v>
      </c>
      <c r="K23" s="1">
        <v>10520</v>
      </c>
      <c r="L23" s="2">
        <v>879233311</v>
      </c>
      <c r="M23" s="4" t="s">
        <v>28</v>
      </c>
    </row>
    <row r="24" spans="1:13" x14ac:dyDescent="0.35">
      <c r="A24" s="1">
        <v>23</v>
      </c>
      <c r="C24" s="1" t="s">
        <v>105</v>
      </c>
      <c r="E24" s="1" t="s">
        <v>106</v>
      </c>
      <c r="F24" s="1" t="s">
        <v>107</v>
      </c>
      <c r="H24" s="1" t="s">
        <v>108</v>
      </c>
      <c r="I24" s="1" t="s">
        <v>109</v>
      </c>
      <c r="J24" s="1" t="s">
        <v>48</v>
      </c>
      <c r="K24" s="1">
        <v>12130</v>
      </c>
    </row>
    <row r="25" spans="1:13" x14ac:dyDescent="0.35">
      <c r="A25" s="1">
        <v>24</v>
      </c>
      <c r="C25" s="1" t="s">
        <v>110</v>
      </c>
      <c r="E25" s="1" t="s">
        <v>111</v>
      </c>
      <c r="F25" s="1">
        <v>8</v>
      </c>
      <c r="H25" s="1" t="s">
        <v>112</v>
      </c>
      <c r="I25" s="1" t="s">
        <v>113</v>
      </c>
      <c r="J25" s="1" t="s">
        <v>40</v>
      </c>
      <c r="K25" s="1">
        <v>10290</v>
      </c>
      <c r="L25" s="2">
        <v>896057440</v>
      </c>
      <c r="M25" s="4" t="s">
        <v>28</v>
      </c>
    </row>
    <row r="26" spans="1:13" x14ac:dyDescent="0.35">
      <c r="A26" s="1">
        <v>25</v>
      </c>
      <c r="B26" s="1" t="s">
        <v>276</v>
      </c>
      <c r="C26" s="1" t="s">
        <v>114</v>
      </c>
      <c r="E26" s="1" t="s">
        <v>61</v>
      </c>
      <c r="F26" s="1" t="s">
        <v>62</v>
      </c>
      <c r="H26" s="1" t="s">
        <v>63</v>
      </c>
      <c r="I26" s="1" t="s">
        <v>63</v>
      </c>
      <c r="J26" s="1" t="s">
        <v>64</v>
      </c>
      <c r="K26" s="1">
        <v>10140</v>
      </c>
      <c r="L26" s="2">
        <v>629375463</v>
      </c>
      <c r="M26" s="4" t="s">
        <v>28</v>
      </c>
    </row>
    <row r="27" spans="1:13" x14ac:dyDescent="0.35">
      <c r="A27" s="1">
        <v>26</v>
      </c>
      <c r="C27" s="1" t="s">
        <v>115</v>
      </c>
      <c r="E27" s="1">
        <v>218</v>
      </c>
      <c r="F27" s="1">
        <v>4</v>
      </c>
      <c r="H27" s="1" t="s">
        <v>116</v>
      </c>
      <c r="I27" s="1" t="s">
        <v>117</v>
      </c>
      <c r="J27" s="1" t="s">
        <v>118</v>
      </c>
      <c r="K27" s="1">
        <v>17130</v>
      </c>
      <c r="L27" s="2">
        <v>957344808</v>
      </c>
    </row>
    <row r="28" spans="1:13" x14ac:dyDescent="0.35">
      <c r="A28" s="1">
        <v>27</v>
      </c>
      <c r="C28" s="1" t="s">
        <v>119</v>
      </c>
      <c r="E28" s="1" t="s">
        <v>120</v>
      </c>
      <c r="F28" s="1" t="s">
        <v>121</v>
      </c>
      <c r="H28" s="1" t="s">
        <v>122</v>
      </c>
      <c r="I28" s="1" t="s">
        <v>123</v>
      </c>
      <c r="J28" s="1" t="s">
        <v>64</v>
      </c>
      <c r="K28" s="1">
        <v>12030</v>
      </c>
      <c r="L28" s="2">
        <v>813616246</v>
      </c>
    </row>
    <row r="29" spans="1:13" x14ac:dyDescent="0.35">
      <c r="A29" s="1">
        <v>28</v>
      </c>
      <c r="C29" s="1" t="s">
        <v>124</v>
      </c>
      <c r="E29" s="1">
        <v>61</v>
      </c>
      <c r="F29" s="1" t="s">
        <v>125</v>
      </c>
      <c r="H29" s="1" t="s">
        <v>126</v>
      </c>
      <c r="I29" s="1" t="s">
        <v>127</v>
      </c>
      <c r="J29" s="1" t="s">
        <v>64</v>
      </c>
      <c r="K29" s="1">
        <v>10250</v>
      </c>
      <c r="L29" s="2">
        <v>863756678</v>
      </c>
    </row>
    <row r="30" spans="1:13" x14ac:dyDescent="0.35">
      <c r="A30" s="1">
        <v>29</v>
      </c>
      <c r="B30" s="1" t="s">
        <v>278</v>
      </c>
      <c r="C30" s="1" t="s">
        <v>128</v>
      </c>
      <c r="E30" s="1">
        <v>15</v>
      </c>
      <c r="F30" s="1" t="s">
        <v>66</v>
      </c>
      <c r="H30" s="1" t="s">
        <v>129</v>
      </c>
      <c r="I30" s="1" t="s">
        <v>130</v>
      </c>
      <c r="J30" s="1" t="s">
        <v>131</v>
      </c>
      <c r="K30" s="1">
        <v>21000</v>
      </c>
      <c r="L30" s="2">
        <v>810895675</v>
      </c>
      <c r="M30" s="4" t="s">
        <v>28</v>
      </c>
    </row>
    <row r="31" spans="1:13" x14ac:dyDescent="0.35">
      <c r="A31" s="1">
        <v>30</v>
      </c>
      <c r="B31" s="1" t="s">
        <v>279</v>
      </c>
      <c r="C31" s="1" t="s">
        <v>132</v>
      </c>
      <c r="E31" s="1">
        <v>10</v>
      </c>
      <c r="F31" s="1" t="s">
        <v>133</v>
      </c>
      <c r="H31" s="1" t="s">
        <v>134</v>
      </c>
      <c r="I31" s="1" t="s">
        <v>134</v>
      </c>
      <c r="J31" s="1" t="s">
        <v>64</v>
      </c>
      <c r="K31" s="1">
        <v>10160</v>
      </c>
      <c r="L31" s="2">
        <v>818235280</v>
      </c>
      <c r="M31" s="4" t="s">
        <v>28</v>
      </c>
    </row>
    <row r="32" spans="1:13" x14ac:dyDescent="0.35">
      <c r="A32" s="1">
        <v>31</v>
      </c>
      <c r="C32" s="1" t="s">
        <v>135</v>
      </c>
      <c r="E32" s="1" t="s">
        <v>136</v>
      </c>
      <c r="F32" s="1" t="s">
        <v>137</v>
      </c>
      <c r="H32" s="1" t="s">
        <v>138</v>
      </c>
      <c r="I32" s="1" t="s">
        <v>139</v>
      </c>
      <c r="J32" s="1" t="s">
        <v>64</v>
      </c>
      <c r="K32" s="1">
        <v>10510</v>
      </c>
      <c r="L32" s="2">
        <v>816597166</v>
      </c>
      <c r="M32" s="4" t="s">
        <v>28</v>
      </c>
    </row>
    <row r="33" spans="1:13" x14ac:dyDescent="0.35">
      <c r="A33" s="1">
        <v>32</v>
      </c>
      <c r="B33" s="1" t="s">
        <v>280</v>
      </c>
      <c r="C33" s="1" t="s">
        <v>140</v>
      </c>
      <c r="E33" s="1" t="s">
        <v>141</v>
      </c>
      <c r="F33" s="1">
        <v>3</v>
      </c>
      <c r="H33" s="1" t="s">
        <v>142</v>
      </c>
      <c r="I33" s="1" t="s">
        <v>130</v>
      </c>
      <c r="J33" s="1" t="s">
        <v>27</v>
      </c>
      <c r="K33" s="1">
        <v>20130</v>
      </c>
      <c r="L33" s="2">
        <v>945454265</v>
      </c>
      <c r="M33" s="4" t="s">
        <v>28</v>
      </c>
    </row>
    <row r="34" spans="1:13" x14ac:dyDescent="0.35">
      <c r="A34" s="1">
        <v>33</v>
      </c>
      <c r="C34" s="1" t="s">
        <v>143</v>
      </c>
      <c r="E34" s="6" t="s">
        <v>144</v>
      </c>
      <c r="F34" s="1" t="s">
        <v>145</v>
      </c>
      <c r="H34" s="1" t="s">
        <v>146</v>
      </c>
      <c r="I34" s="1" t="s">
        <v>147</v>
      </c>
      <c r="J34" s="1" t="s">
        <v>64</v>
      </c>
      <c r="K34" s="1">
        <v>10600</v>
      </c>
      <c r="L34" s="2">
        <v>654429479</v>
      </c>
      <c r="M34" s="4" t="s">
        <v>28</v>
      </c>
    </row>
    <row r="35" spans="1:13" x14ac:dyDescent="0.35">
      <c r="A35" s="1">
        <v>34</v>
      </c>
      <c r="C35" s="1" t="s">
        <v>148</v>
      </c>
      <c r="E35" s="1">
        <v>297</v>
      </c>
      <c r="F35" s="1">
        <v>9</v>
      </c>
      <c r="H35" s="1" t="s">
        <v>149</v>
      </c>
      <c r="I35" s="1" t="s">
        <v>150</v>
      </c>
      <c r="J35" s="1" t="s">
        <v>151</v>
      </c>
      <c r="K35" s="1">
        <v>32140</v>
      </c>
      <c r="L35" s="2">
        <v>986165995</v>
      </c>
      <c r="M35" s="4" t="s">
        <v>28</v>
      </c>
    </row>
    <row r="36" spans="1:13" x14ac:dyDescent="0.35">
      <c r="A36" s="1">
        <v>35</v>
      </c>
      <c r="C36" s="1" t="s">
        <v>152</v>
      </c>
      <c r="E36" s="1">
        <v>55</v>
      </c>
      <c r="F36" s="1">
        <v>8</v>
      </c>
      <c r="H36" s="1" t="s">
        <v>43</v>
      </c>
      <c r="I36" s="1" t="s">
        <v>43</v>
      </c>
      <c r="J36" s="1" t="s">
        <v>27</v>
      </c>
      <c r="K36" s="1">
        <v>20180</v>
      </c>
      <c r="L36" s="2">
        <v>816548941</v>
      </c>
      <c r="M36" s="4" t="s">
        <v>28</v>
      </c>
    </row>
    <row r="37" spans="1:13" x14ac:dyDescent="0.35">
      <c r="A37" s="1">
        <v>36</v>
      </c>
      <c r="C37" s="1" t="s">
        <v>153</v>
      </c>
      <c r="E37" s="1">
        <v>198</v>
      </c>
      <c r="F37" s="1">
        <v>2</v>
      </c>
      <c r="H37" s="1" t="s">
        <v>154</v>
      </c>
      <c r="I37" s="1" t="s">
        <v>155</v>
      </c>
      <c r="J37" s="1" t="s">
        <v>156</v>
      </c>
      <c r="K37" s="1">
        <v>50220</v>
      </c>
      <c r="L37" s="2">
        <v>969499289</v>
      </c>
      <c r="M37" s="4" t="s">
        <v>28</v>
      </c>
    </row>
    <row r="38" spans="1:13" x14ac:dyDescent="0.35">
      <c r="A38" s="1">
        <v>37</v>
      </c>
      <c r="B38" s="1" t="s">
        <v>492</v>
      </c>
      <c r="C38" s="1" t="s">
        <v>157</v>
      </c>
      <c r="E38" s="1">
        <v>55</v>
      </c>
      <c r="F38" s="1">
        <v>8</v>
      </c>
      <c r="H38" s="1" t="s">
        <v>43</v>
      </c>
      <c r="I38" s="1" t="s">
        <v>43</v>
      </c>
      <c r="J38" s="1" t="s">
        <v>27</v>
      </c>
      <c r="K38" s="1">
        <v>20180</v>
      </c>
      <c r="L38" s="2">
        <v>816548941</v>
      </c>
      <c r="M38" s="4" t="s">
        <v>28</v>
      </c>
    </row>
    <row r="39" spans="1:13" x14ac:dyDescent="0.35">
      <c r="A39" s="1">
        <v>38</v>
      </c>
      <c r="B39" s="1" t="s">
        <v>492</v>
      </c>
      <c r="C39" s="1" t="s">
        <v>158</v>
      </c>
      <c r="E39" s="1" t="s">
        <v>159</v>
      </c>
      <c r="F39" s="1" t="s">
        <v>24</v>
      </c>
      <c r="G39" s="1" t="s">
        <v>160</v>
      </c>
      <c r="H39" s="1" t="s">
        <v>161</v>
      </c>
      <c r="I39" s="1" t="s">
        <v>162</v>
      </c>
      <c r="J39" s="1" t="s">
        <v>81</v>
      </c>
      <c r="L39" s="2">
        <v>909942899</v>
      </c>
      <c r="M39" s="4" t="s">
        <v>28</v>
      </c>
    </row>
    <row r="40" spans="1:13" x14ac:dyDescent="0.35">
      <c r="A40" s="1">
        <v>39</v>
      </c>
      <c r="B40" s="1" t="s">
        <v>492</v>
      </c>
      <c r="C40" s="1" t="s">
        <v>163</v>
      </c>
      <c r="E40" s="1" t="s">
        <v>164</v>
      </c>
      <c r="F40" s="1">
        <v>3</v>
      </c>
      <c r="G40" s="1" t="s">
        <v>165</v>
      </c>
      <c r="H40" s="1" t="s">
        <v>166</v>
      </c>
      <c r="I40" s="1" t="s">
        <v>130</v>
      </c>
      <c r="J40" s="1" t="s">
        <v>27</v>
      </c>
      <c r="K40" s="1">
        <v>20000</v>
      </c>
      <c r="L40" s="2">
        <v>944954153</v>
      </c>
      <c r="M40" s="4" t="s">
        <v>28</v>
      </c>
    </row>
    <row r="41" spans="1:13" x14ac:dyDescent="0.35">
      <c r="A41" s="1">
        <v>40</v>
      </c>
      <c r="C41" s="1" t="s">
        <v>167</v>
      </c>
      <c r="E41" s="1" t="s">
        <v>168</v>
      </c>
      <c r="F41" s="1">
        <v>18</v>
      </c>
      <c r="H41" s="1" t="s">
        <v>169</v>
      </c>
      <c r="I41" s="1" t="s">
        <v>109</v>
      </c>
      <c r="J41" s="1" t="s">
        <v>48</v>
      </c>
      <c r="K41" s="1">
        <v>12150</v>
      </c>
      <c r="L41" s="2">
        <v>890249309</v>
      </c>
      <c r="M41" s="4" t="s">
        <v>28</v>
      </c>
    </row>
    <row r="42" spans="1:13" x14ac:dyDescent="0.35">
      <c r="A42" s="1">
        <v>41</v>
      </c>
      <c r="C42" s="1" t="s">
        <v>170</v>
      </c>
      <c r="E42" s="1">
        <v>53</v>
      </c>
      <c r="F42" s="1">
        <v>2</v>
      </c>
      <c r="H42" s="1" t="s">
        <v>171</v>
      </c>
      <c r="I42" s="1" t="s">
        <v>171</v>
      </c>
      <c r="J42" s="1" t="s">
        <v>172</v>
      </c>
      <c r="L42" s="2">
        <v>812742716</v>
      </c>
      <c r="M42" s="4" t="s">
        <v>28</v>
      </c>
    </row>
    <row r="43" spans="1:13" x14ac:dyDescent="0.35">
      <c r="A43" s="1">
        <v>42</v>
      </c>
      <c r="C43" s="1" t="s">
        <v>173</v>
      </c>
      <c r="E43" s="1" t="s">
        <v>174</v>
      </c>
      <c r="F43" s="1" t="s">
        <v>175</v>
      </c>
      <c r="G43" s="1" t="s">
        <v>176</v>
      </c>
      <c r="H43" s="1" t="s">
        <v>177</v>
      </c>
      <c r="I43" s="1" t="s">
        <v>69</v>
      </c>
      <c r="J43" s="1" t="s">
        <v>40</v>
      </c>
      <c r="K43" s="1">
        <v>10270</v>
      </c>
      <c r="L43" s="2">
        <v>614195350</v>
      </c>
      <c r="M43" s="4" t="s">
        <v>28</v>
      </c>
    </row>
    <row r="44" spans="1:13" x14ac:dyDescent="0.35">
      <c r="A44" s="1">
        <v>43</v>
      </c>
      <c r="C44" s="1" t="s">
        <v>178</v>
      </c>
      <c r="E44" s="1" t="s">
        <v>179</v>
      </c>
      <c r="F44" s="1">
        <v>2</v>
      </c>
      <c r="H44" s="1" t="s">
        <v>180</v>
      </c>
      <c r="I44" s="1" t="s">
        <v>98</v>
      </c>
      <c r="J44" s="1" t="s">
        <v>27</v>
      </c>
      <c r="K44" s="1">
        <v>20110</v>
      </c>
      <c r="L44" s="2">
        <v>815625034</v>
      </c>
      <c r="M44" s="4" t="s">
        <v>28</v>
      </c>
    </row>
    <row r="45" spans="1:13" x14ac:dyDescent="0.35">
      <c r="A45" s="1">
        <v>44</v>
      </c>
      <c r="C45" s="1" t="s">
        <v>181</v>
      </c>
      <c r="E45" s="1" t="s">
        <v>182</v>
      </c>
      <c r="F45" s="1" t="s">
        <v>183</v>
      </c>
      <c r="G45" s="1" t="s">
        <v>184</v>
      </c>
      <c r="H45" s="1" t="s">
        <v>185</v>
      </c>
      <c r="I45" s="1" t="s">
        <v>186</v>
      </c>
      <c r="J45" s="1" t="s">
        <v>187</v>
      </c>
      <c r="K45" s="1">
        <v>10330</v>
      </c>
      <c r="L45" s="2">
        <v>839788244</v>
      </c>
      <c r="M45" s="4" t="s">
        <v>28</v>
      </c>
    </row>
    <row r="46" spans="1:13" x14ac:dyDescent="0.35">
      <c r="A46" s="1">
        <v>45</v>
      </c>
      <c r="B46" s="1" t="s">
        <v>281</v>
      </c>
      <c r="C46" s="1" t="s">
        <v>188</v>
      </c>
      <c r="E46" s="1" t="s">
        <v>189</v>
      </c>
      <c r="F46" s="1">
        <v>2</v>
      </c>
      <c r="H46" s="1" t="s">
        <v>25</v>
      </c>
      <c r="I46" s="1" t="s">
        <v>26</v>
      </c>
      <c r="J46" s="1" t="s">
        <v>27</v>
      </c>
      <c r="K46" s="1">
        <v>20000</v>
      </c>
      <c r="M46" s="4" t="s">
        <v>28</v>
      </c>
    </row>
    <row r="47" spans="1:13" x14ac:dyDescent="0.35">
      <c r="A47" s="1">
        <v>46</v>
      </c>
      <c r="B47" s="1" t="s">
        <v>282</v>
      </c>
      <c r="C47" s="1" t="s">
        <v>190</v>
      </c>
      <c r="E47" s="1" t="s">
        <v>191</v>
      </c>
      <c r="F47" s="1">
        <v>12</v>
      </c>
      <c r="H47" s="1" t="s">
        <v>25</v>
      </c>
      <c r="I47" s="1" t="s">
        <v>26</v>
      </c>
      <c r="J47" s="1" t="s">
        <v>27</v>
      </c>
      <c r="K47" s="1">
        <v>20000</v>
      </c>
      <c r="L47" s="2">
        <v>861513277</v>
      </c>
      <c r="M47" s="4" t="s">
        <v>28</v>
      </c>
    </row>
    <row r="48" spans="1:13" x14ac:dyDescent="0.35">
      <c r="A48" s="1">
        <v>47</v>
      </c>
      <c r="B48" s="1" t="s">
        <v>282</v>
      </c>
      <c r="C48" s="1" t="s">
        <v>192</v>
      </c>
      <c r="E48" s="1" t="s">
        <v>193</v>
      </c>
      <c r="F48" s="1">
        <v>3</v>
      </c>
      <c r="H48" s="1" t="s">
        <v>194</v>
      </c>
      <c r="I48" s="1" t="s">
        <v>98</v>
      </c>
      <c r="J48" s="1" t="s">
        <v>27</v>
      </c>
      <c r="K48" s="1">
        <v>20230</v>
      </c>
      <c r="L48" s="2">
        <v>988245856</v>
      </c>
      <c r="M48" s="4" t="s">
        <v>28</v>
      </c>
    </row>
    <row r="49" spans="1:13" x14ac:dyDescent="0.35">
      <c r="A49" s="1">
        <v>48</v>
      </c>
      <c r="C49" s="1" t="s">
        <v>195</v>
      </c>
      <c r="E49" s="7" t="s">
        <v>196</v>
      </c>
      <c r="G49" s="1" t="s">
        <v>197</v>
      </c>
      <c r="H49" s="1" t="s">
        <v>198</v>
      </c>
      <c r="I49" s="1" t="s">
        <v>199</v>
      </c>
      <c r="J49" s="1" t="s">
        <v>200</v>
      </c>
      <c r="L49" s="2">
        <v>616938802</v>
      </c>
      <c r="M49" s="4" t="s">
        <v>28</v>
      </c>
    </row>
    <row r="50" spans="1:13" x14ac:dyDescent="0.35">
      <c r="A50" s="1">
        <v>49</v>
      </c>
      <c r="C50" s="1" t="s">
        <v>201</v>
      </c>
      <c r="E50" s="1">
        <v>46</v>
      </c>
      <c r="G50" s="1" t="s">
        <v>202</v>
      </c>
      <c r="H50" s="1" t="s">
        <v>203</v>
      </c>
      <c r="I50" s="1" t="s">
        <v>204</v>
      </c>
      <c r="J50" s="1" t="s">
        <v>32</v>
      </c>
      <c r="K50" s="1">
        <v>44000</v>
      </c>
      <c r="L50" s="2">
        <v>612301715</v>
      </c>
      <c r="M50" s="4" t="s">
        <v>28</v>
      </c>
    </row>
    <row r="51" spans="1:13" x14ac:dyDescent="0.35">
      <c r="A51" s="1">
        <v>50</v>
      </c>
      <c r="C51" s="1" t="s">
        <v>205</v>
      </c>
      <c r="E51" s="1" t="s">
        <v>206</v>
      </c>
      <c r="F51" s="1">
        <v>7</v>
      </c>
      <c r="G51" s="1" t="s">
        <v>207</v>
      </c>
      <c r="H51" s="1" t="s">
        <v>161</v>
      </c>
      <c r="I51" s="1" t="s">
        <v>162</v>
      </c>
      <c r="J51" s="1" t="s">
        <v>81</v>
      </c>
      <c r="K51" s="1">
        <v>11110</v>
      </c>
      <c r="L51" s="2">
        <v>910697381</v>
      </c>
      <c r="M51" s="4" t="s">
        <v>28</v>
      </c>
    </row>
    <row r="52" spans="1:13" x14ac:dyDescent="0.35">
      <c r="A52" s="1">
        <v>51</v>
      </c>
      <c r="C52" s="1" t="s">
        <v>208</v>
      </c>
      <c r="E52" s="1" t="s">
        <v>209</v>
      </c>
      <c r="F52" s="1">
        <v>16</v>
      </c>
      <c r="H52" s="1" t="s">
        <v>210</v>
      </c>
      <c r="I52" s="1" t="s">
        <v>211</v>
      </c>
      <c r="J52" s="1" t="s">
        <v>212</v>
      </c>
      <c r="L52" s="2">
        <v>804512357</v>
      </c>
      <c r="M52" s="4" t="s">
        <v>28</v>
      </c>
    </row>
    <row r="53" spans="1:13" x14ac:dyDescent="0.35">
      <c r="A53" s="1">
        <v>52</v>
      </c>
      <c r="C53" s="1" t="s">
        <v>213</v>
      </c>
      <c r="E53" s="1">
        <v>25</v>
      </c>
      <c r="F53" s="1">
        <v>7</v>
      </c>
      <c r="H53" s="1" t="s">
        <v>214</v>
      </c>
      <c r="I53" s="1" t="s">
        <v>215</v>
      </c>
      <c r="J53" s="1" t="s">
        <v>172</v>
      </c>
      <c r="K53" s="1">
        <v>60130</v>
      </c>
      <c r="L53" s="2">
        <v>808824556</v>
      </c>
      <c r="M53" s="4" t="s">
        <v>28</v>
      </c>
    </row>
    <row r="54" spans="1:13" x14ac:dyDescent="0.35">
      <c r="A54" s="1">
        <v>53</v>
      </c>
      <c r="B54" s="1" t="s">
        <v>276</v>
      </c>
      <c r="C54" s="1" t="s">
        <v>216</v>
      </c>
      <c r="E54" s="1">
        <v>115</v>
      </c>
      <c r="F54" s="1">
        <v>8</v>
      </c>
      <c r="G54" s="1" t="s">
        <v>217</v>
      </c>
      <c r="H54" s="1" t="s">
        <v>218</v>
      </c>
      <c r="I54" s="1" t="s">
        <v>219</v>
      </c>
      <c r="J54" s="1" t="s">
        <v>220</v>
      </c>
      <c r="K54" s="1">
        <v>34310</v>
      </c>
      <c r="L54" s="2">
        <v>932825616</v>
      </c>
      <c r="M54" s="4" t="s">
        <v>28</v>
      </c>
    </row>
    <row r="55" spans="1:13" x14ac:dyDescent="0.35">
      <c r="A55" s="1">
        <v>54</v>
      </c>
      <c r="B55" s="1" t="s">
        <v>276</v>
      </c>
      <c r="C55" s="1" t="s">
        <v>221</v>
      </c>
      <c r="E55" s="1">
        <v>108</v>
      </c>
      <c r="F55" s="1">
        <v>4</v>
      </c>
      <c r="H55" s="1" t="s">
        <v>222</v>
      </c>
      <c r="I55" s="1" t="s">
        <v>223</v>
      </c>
      <c r="J55" s="1" t="s">
        <v>27</v>
      </c>
      <c r="K55" s="1">
        <v>20170</v>
      </c>
      <c r="L55" s="2">
        <v>876140254</v>
      </c>
      <c r="M55" s="4" t="s">
        <v>28</v>
      </c>
    </row>
    <row r="56" spans="1:13" x14ac:dyDescent="0.35">
      <c r="A56" s="1">
        <v>55</v>
      </c>
      <c r="B56" s="1" t="s">
        <v>276</v>
      </c>
      <c r="C56" s="1" t="s">
        <v>224</v>
      </c>
      <c r="E56" s="1" t="s">
        <v>225</v>
      </c>
      <c r="F56" s="1">
        <v>1</v>
      </c>
      <c r="H56" s="1" t="s">
        <v>166</v>
      </c>
      <c r="I56" s="1" t="s">
        <v>26</v>
      </c>
      <c r="J56" s="1" t="s">
        <v>27</v>
      </c>
      <c r="K56" s="1">
        <v>20000</v>
      </c>
      <c r="L56" s="2">
        <v>624655293</v>
      </c>
      <c r="M56" s="4" t="s">
        <v>28</v>
      </c>
    </row>
    <row r="57" spans="1:13" x14ac:dyDescent="0.35">
      <c r="A57" s="1">
        <v>56</v>
      </c>
      <c r="B57" s="1" t="s">
        <v>276</v>
      </c>
      <c r="C57" s="1" t="s">
        <v>226</v>
      </c>
      <c r="E57" s="1">
        <v>297</v>
      </c>
      <c r="F57" s="1">
        <v>1</v>
      </c>
      <c r="H57" s="1" t="s">
        <v>227</v>
      </c>
      <c r="I57" s="1" t="s">
        <v>223</v>
      </c>
      <c r="J57" s="1" t="s">
        <v>27</v>
      </c>
      <c r="K57" s="1">
        <v>20220</v>
      </c>
      <c r="L57" s="2">
        <v>625195361</v>
      </c>
      <c r="M57" s="4" t="s">
        <v>28</v>
      </c>
    </row>
    <row r="58" spans="1:13" x14ac:dyDescent="0.35">
      <c r="A58" s="1">
        <v>57</v>
      </c>
      <c r="C58" s="1" t="s">
        <v>228</v>
      </c>
      <c r="E58" s="5" t="s">
        <v>229</v>
      </c>
      <c r="F58" s="1">
        <v>2</v>
      </c>
      <c r="H58" s="1" t="s">
        <v>222</v>
      </c>
      <c r="I58" s="1" t="s">
        <v>223</v>
      </c>
      <c r="J58" s="1" t="s">
        <v>27</v>
      </c>
      <c r="K58" s="1">
        <v>20170</v>
      </c>
      <c r="L58" s="2">
        <v>955524661</v>
      </c>
      <c r="M58" s="4" t="s">
        <v>28</v>
      </c>
    </row>
    <row r="59" spans="1:13" x14ac:dyDescent="0.35">
      <c r="A59" s="1">
        <v>58</v>
      </c>
      <c r="C59" s="1" t="s">
        <v>230</v>
      </c>
      <c r="E59" s="1" t="s">
        <v>231</v>
      </c>
      <c r="F59" s="1">
        <v>1</v>
      </c>
      <c r="H59" s="1" t="s">
        <v>232</v>
      </c>
      <c r="I59" s="1" t="s">
        <v>223</v>
      </c>
      <c r="J59" s="1" t="s">
        <v>27</v>
      </c>
      <c r="K59" s="1">
        <v>20170</v>
      </c>
      <c r="L59" s="2">
        <v>812562143</v>
      </c>
      <c r="M59" s="4" t="s">
        <v>28</v>
      </c>
    </row>
    <row r="60" spans="1:13" x14ac:dyDescent="0.35">
      <c r="A60" s="1">
        <v>59</v>
      </c>
      <c r="C60" s="1" t="s">
        <v>233</v>
      </c>
      <c r="E60" s="5" t="s">
        <v>234</v>
      </c>
      <c r="F60" s="1">
        <v>2</v>
      </c>
      <c r="G60" s="1" t="s">
        <v>235</v>
      </c>
      <c r="H60" s="1" t="s">
        <v>236</v>
      </c>
      <c r="I60" s="1" t="s">
        <v>237</v>
      </c>
      <c r="J60" s="1" t="s">
        <v>238</v>
      </c>
      <c r="K60" s="1">
        <v>24140</v>
      </c>
      <c r="L60" s="2">
        <v>875810351</v>
      </c>
      <c r="M60" s="4" t="s">
        <v>28</v>
      </c>
    </row>
    <row r="61" spans="1:13" x14ac:dyDescent="0.35">
      <c r="A61" s="1">
        <v>60</v>
      </c>
      <c r="C61" s="1" t="s">
        <v>239</v>
      </c>
      <c r="E61" s="1" t="s">
        <v>240</v>
      </c>
      <c r="F61" s="1">
        <v>4</v>
      </c>
      <c r="G61" s="1" t="s">
        <v>241</v>
      </c>
      <c r="H61" s="1" t="s">
        <v>25</v>
      </c>
      <c r="I61" s="1" t="s">
        <v>26</v>
      </c>
      <c r="J61" s="1" t="s">
        <v>27</v>
      </c>
      <c r="K61" s="1">
        <v>20000</v>
      </c>
      <c r="L61" s="2">
        <v>819787419</v>
      </c>
      <c r="M61" s="4" t="s">
        <v>28</v>
      </c>
    </row>
    <row r="62" spans="1:13" x14ac:dyDescent="0.35">
      <c r="A62" s="1">
        <v>61</v>
      </c>
      <c r="C62" s="1" t="s">
        <v>242</v>
      </c>
      <c r="E62" s="1" t="s">
        <v>243</v>
      </c>
      <c r="F62" s="1">
        <v>7</v>
      </c>
      <c r="H62" s="1" t="s">
        <v>244</v>
      </c>
      <c r="I62" s="1" t="s">
        <v>245</v>
      </c>
      <c r="J62" s="1" t="s">
        <v>27</v>
      </c>
      <c r="K62" s="1">
        <v>20160</v>
      </c>
      <c r="L62" s="2">
        <v>644155265</v>
      </c>
      <c r="M62" s="4" t="s">
        <v>28</v>
      </c>
    </row>
    <row r="63" spans="1:13" x14ac:dyDescent="0.35">
      <c r="A63" s="1">
        <v>62</v>
      </c>
      <c r="C63" s="1" t="s">
        <v>246</v>
      </c>
      <c r="E63" s="1">
        <v>94</v>
      </c>
      <c r="F63" s="1">
        <v>1</v>
      </c>
      <c r="H63" s="1" t="s">
        <v>247</v>
      </c>
      <c r="I63" s="1" t="s">
        <v>130</v>
      </c>
      <c r="J63" s="1" t="s">
        <v>248</v>
      </c>
      <c r="K63" s="1">
        <v>39000</v>
      </c>
      <c r="L63" s="2">
        <v>954792860</v>
      </c>
      <c r="M63" s="4" t="s">
        <v>28</v>
      </c>
    </row>
    <row r="64" spans="1:13" x14ac:dyDescent="0.35">
      <c r="A64" s="1">
        <v>63</v>
      </c>
      <c r="C64" s="1" t="s">
        <v>249</v>
      </c>
      <c r="E64" s="1">
        <v>90</v>
      </c>
      <c r="F64" s="1">
        <v>1</v>
      </c>
      <c r="H64" s="1" t="s">
        <v>250</v>
      </c>
      <c r="I64" s="1" t="s">
        <v>251</v>
      </c>
      <c r="J64" s="1" t="s">
        <v>27</v>
      </c>
      <c r="K64" s="1">
        <v>20190</v>
      </c>
      <c r="L64" s="2">
        <v>861000804</v>
      </c>
      <c r="M64" s="4" t="s">
        <v>28</v>
      </c>
    </row>
    <row r="65" spans="1:13" x14ac:dyDescent="0.35">
      <c r="A65" s="1">
        <v>64</v>
      </c>
      <c r="C65" s="1" t="s">
        <v>252</v>
      </c>
      <c r="E65" s="5" t="s">
        <v>253</v>
      </c>
      <c r="F65" s="1">
        <v>9</v>
      </c>
      <c r="H65" s="1" t="s">
        <v>254</v>
      </c>
      <c r="I65" s="1" t="s">
        <v>26</v>
      </c>
      <c r="J65" s="1" t="s">
        <v>27</v>
      </c>
      <c r="K65" s="1">
        <v>20000</v>
      </c>
      <c r="L65" s="2">
        <v>919159164</v>
      </c>
      <c r="M65" s="4" t="s">
        <v>28</v>
      </c>
    </row>
    <row r="66" spans="1:13" x14ac:dyDescent="0.35">
      <c r="A66" s="1">
        <v>65</v>
      </c>
      <c r="C66" s="1" t="s">
        <v>255</v>
      </c>
      <c r="E66" s="8" t="s">
        <v>256</v>
      </c>
      <c r="F66" s="1">
        <v>6</v>
      </c>
      <c r="H66" s="1" t="s">
        <v>257</v>
      </c>
      <c r="I66" s="1" t="s">
        <v>258</v>
      </c>
      <c r="J66" s="1" t="s">
        <v>27</v>
      </c>
      <c r="K66" s="1">
        <v>20140</v>
      </c>
      <c r="L66" s="2">
        <v>958733053</v>
      </c>
      <c r="M66" s="4" t="s">
        <v>28</v>
      </c>
    </row>
    <row r="67" spans="1:13" x14ac:dyDescent="0.35">
      <c r="A67" s="1">
        <v>66</v>
      </c>
      <c r="C67" s="1" t="s">
        <v>259</v>
      </c>
      <c r="E67" s="1">
        <v>15</v>
      </c>
      <c r="F67" s="1">
        <v>16</v>
      </c>
      <c r="H67" s="1" t="s">
        <v>260</v>
      </c>
      <c r="I67" s="1" t="s">
        <v>261</v>
      </c>
      <c r="J67" s="1" t="s">
        <v>238</v>
      </c>
      <c r="M67" s="4" t="s">
        <v>28</v>
      </c>
    </row>
    <row r="68" spans="1:13" x14ac:dyDescent="0.35">
      <c r="A68" s="1">
        <v>67</v>
      </c>
      <c r="B68" s="1" t="s">
        <v>276</v>
      </c>
      <c r="C68" s="1" t="s">
        <v>262</v>
      </c>
      <c r="E68" s="1" t="s">
        <v>263</v>
      </c>
      <c r="F68" s="1">
        <v>6</v>
      </c>
      <c r="H68" s="1" t="s">
        <v>264</v>
      </c>
      <c r="I68" s="1" t="s">
        <v>265</v>
      </c>
      <c r="J68" s="1" t="s">
        <v>48</v>
      </c>
      <c r="K68" s="1">
        <v>12120</v>
      </c>
      <c r="L68" s="2">
        <v>814416528</v>
      </c>
      <c r="M68" s="4" t="s">
        <v>28</v>
      </c>
    </row>
    <row r="69" spans="1:13" x14ac:dyDescent="0.35">
      <c r="A69" s="1">
        <v>68</v>
      </c>
      <c r="B69" s="1" t="s">
        <v>276</v>
      </c>
      <c r="C69" s="1" t="s">
        <v>266</v>
      </c>
      <c r="E69" s="1">
        <v>229</v>
      </c>
      <c r="F69" s="1">
        <v>3</v>
      </c>
      <c r="H69" s="1" t="s">
        <v>267</v>
      </c>
      <c r="I69" s="1" t="s">
        <v>268</v>
      </c>
      <c r="J69" s="1" t="s">
        <v>59</v>
      </c>
      <c r="K69" s="1">
        <v>70140</v>
      </c>
      <c r="L69" s="2">
        <v>922933843</v>
      </c>
      <c r="M69" s="4" t="s">
        <v>28</v>
      </c>
    </row>
    <row r="70" spans="1:13" x14ac:dyDescent="0.35">
      <c r="A70" s="1">
        <v>69</v>
      </c>
      <c r="B70" s="1" t="s">
        <v>276</v>
      </c>
      <c r="C70" s="1" t="s">
        <v>269</v>
      </c>
      <c r="E70" s="1" t="s">
        <v>270</v>
      </c>
      <c r="F70" s="1">
        <v>8</v>
      </c>
      <c r="H70" s="1" t="s">
        <v>271</v>
      </c>
      <c r="I70" s="1" t="s">
        <v>272</v>
      </c>
      <c r="J70" s="1" t="s">
        <v>81</v>
      </c>
      <c r="L70" s="2">
        <v>943549829</v>
      </c>
      <c r="M70" s="4" t="s">
        <v>28</v>
      </c>
    </row>
    <row r="71" spans="1:13" x14ac:dyDescent="0.35">
      <c r="A71" s="1">
        <v>70</v>
      </c>
      <c r="B71" s="1" t="s">
        <v>284</v>
      </c>
      <c r="C71" s="1" t="s">
        <v>283</v>
      </c>
      <c r="D71" s="9">
        <v>3520100204465</v>
      </c>
      <c r="M71" s="4" t="s">
        <v>28</v>
      </c>
    </row>
    <row r="72" spans="1:13" x14ac:dyDescent="0.35">
      <c r="A72" s="1">
        <v>71</v>
      </c>
      <c r="B72" s="1" t="s">
        <v>491</v>
      </c>
      <c r="C72" s="1" t="s">
        <v>490</v>
      </c>
      <c r="D72" s="9">
        <v>3101202192070</v>
      </c>
      <c r="E72" s="57" t="s">
        <v>538</v>
      </c>
      <c r="F72" s="1">
        <v>6</v>
      </c>
      <c r="H72" s="1" t="s">
        <v>539</v>
      </c>
      <c r="I72" s="1" t="s">
        <v>540</v>
      </c>
      <c r="J72" s="1" t="s">
        <v>40</v>
      </c>
      <c r="K72" s="1">
        <v>10540</v>
      </c>
      <c r="L72" s="2">
        <v>818090367</v>
      </c>
      <c r="M72" s="4" t="s">
        <v>28</v>
      </c>
    </row>
    <row r="73" spans="1:13" x14ac:dyDescent="0.35">
      <c r="A73" s="1">
        <v>72</v>
      </c>
      <c r="B73" s="1" t="s">
        <v>550</v>
      </c>
      <c r="C73" s="1" t="s">
        <v>549</v>
      </c>
      <c r="D73" s="9">
        <v>3720200533281</v>
      </c>
    </row>
    <row r="76" spans="1:13" s="53" customFormat="1" x14ac:dyDescent="0.35">
      <c r="B76" s="53" t="s">
        <v>481</v>
      </c>
    </row>
  </sheetData>
  <dataValidations count="1">
    <dataValidation type="list" allowBlank="1" showInputMessage="1" showErrorMessage="1" sqref="B76" xr:uid="{FF9F217E-8841-47CE-A32F-5E1A89BC43AB}">
      <formula1>"ยกระดับฝีมือ , อาชีพเสริม , เตรียมเข้าทำงาน"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AE8A-61A7-4719-B0CB-47B1C3EAB686}">
  <dimension ref="A1:I44"/>
  <sheetViews>
    <sheetView topLeftCell="A2" workbookViewId="0">
      <selection activeCell="D11" sqref="D11"/>
    </sheetView>
  </sheetViews>
  <sheetFormatPr defaultRowHeight="21" x14ac:dyDescent="0.35"/>
  <cols>
    <col min="1" max="2" width="4.25" customWidth="1"/>
    <col min="3" max="3" width="24.625" customWidth="1"/>
    <col min="4" max="4" width="35.25" customWidth="1"/>
    <col min="6" max="6" width="11.875" customWidth="1"/>
    <col min="7" max="7" width="17" customWidth="1"/>
    <col min="8" max="9" width="14" customWidth="1"/>
  </cols>
  <sheetData>
    <row r="1" spans="1:9" x14ac:dyDescent="0.35">
      <c r="A1" t="s">
        <v>285</v>
      </c>
    </row>
    <row r="2" spans="1:9" x14ac:dyDescent="0.35">
      <c r="A2" t="s">
        <v>287</v>
      </c>
      <c r="C2" t="s">
        <v>488</v>
      </c>
      <c r="D2" t="s">
        <v>286</v>
      </c>
      <c r="E2" t="s">
        <v>411</v>
      </c>
      <c r="F2" t="s">
        <v>419</v>
      </c>
      <c r="G2" t="s">
        <v>436</v>
      </c>
      <c r="H2" t="s">
        <v>434</v>
      </c>
      <c r="I2" t="s">
        <v>435</v>
      </c>
    </row>
    <row r="3" spans="1:9" x14ac:dyDescent="0.35">
      <c r="A3">
        <v>3</v>
      </c>
      <c r="B3">
        <v>1</v>
      </c>
      <c r="C3" t="s">
        <v>299</v>
      </c>
      <c r="D3" t="s">
        <v>293</v>
      </c>
      <c r="E3" t="s">
        <v>416</v>
      </c>
      <c r="F3" t="s">
        <v>421</v>
      </c>
      <c r="H3" t="s">
        <v>297</v>
      </c>
      <c r="I3" t="s">
        <v>298</v>
      </c>
    </row>
    <row r="4" spans="1:9" x14ac:dyDescent="0.35">
      <c r="A4">
        <v>6</v>
      </c>
      <c r="B4">
        <v>2</v>
      </c>
      <c r="C4" t="s">
        <v>306</v>
      </c>
      <c r="D4" t="s">
        <v>302</v>
      </c>
      <c r="E4" t="s">
        <v>416</v>
      </c>
      <c r="F4" t="s">
        <v>424</v>
      </c>
      <c r="G4">
        <v>953255199</v>
      </c>
      <c r="H4" t="s">
        <v>304</v>
      </c>
      <c r="I4" t="s">
        <v>305</v>
      </c>
    </row>
    <row r="5" spans="1:9" x14ac:dyDescent="0.35">
      <c r="A5">
        <v>9</v>
      </c>
      <c r="B5">
        <v>3</v>
      </c>
      <c r="C5" t="s">
        <v>315</v>
      </c>
      <c r="D5" t="s">
        <v>302</v>
      </c>
      <c r="E5" t="s">
        <v>416</v>
      </c>
      <c r="F5" t="s">
        <v>425</v>
      </c>
      <c r="H5" t="s">
        <v>313</v>
      </c>
      <c r="I5" t="s">
        <v>314</v>
      </c>
    </row>
    <row r="6" spans="1:9" x14ac:dyDescent="0.35">
      <c r="A6">
        <v>12</v>
      </c>
      <c r="B6">
        <v>4</v>
      </c>
      <c r="C6" t="s">
        <v>325</v>
      </c>
      <c r="D6" t="s">
        <v>321</v>
      </c>
      <c r="E6" t="s">
        <v>416</v>
      </c>
      <c r="F6" t="s">
        <v>424</v>
      </c>
      <c r="H6" t="s">
        <v>323</v>
      </c>
      <c r="I6" t="s">
        <v>324</v>
      </c>
    </row>
    <row r="7" spans="1:9" x14ac:dyDescent="0.35">
      <c r="A7">
        <v>20</v>
      </c>
      <c r="B7">
        <v>5</v>
      </c>
      <c r="C7" t="s">
        <v>352</v>
      </c>
      <c r="D7" t="s">
        <v>351</v>
      </c>
      <c r="E7" t="s">
        <v>416</v>
      </c>
      <c r="F7" t="s">
        <v>424</v>
      </c>
      <c r="H7" t="s">
        <v>349</v>
      </c>
      <c r="I7" t="s">
        <v>350</v>
      </c>
    </row>
    <row r="8" spans="1:9" x14ac:dyDescent="0.35">
      <c r="A8">
        <v>23</v>
      </c>
      <c r="B8">
        <v>6</v>
      </c>
      <c r="C8" t="s">
        <v>362</v>
      </c>
      <c r="D8" t="s">
        <v>358</v>
      </c>
      <c r="E8" t="s">
        <v>416</v>
      </c>
      <c r="F8" t="s">
        <v>425</v>
      </c>
      <c r="H8" t="s">
        <v>360</v>
      </c>
      <c r="I8" t="s">
        <v>361</v>
      </c>
    </row>
    <row r="9" spans="1:9" x14ac:dyDescent="0.35">
      <c r="A9">
        <v>25</v>
      </c>
      <c r="B9">
        <v>7</v>
      </c>
      <c r="C9" t="s">
        <v>368</v>
      </c>
      <c r="D9" t="s">
        <v>364</v>
      </c>
      <c r="E9" t="s">
        <v>416</v>
      </c>
      <c r="F9" t="s">
        <v>424</v>
      </c>
      <c r="H9" t="s">
        <v>366</v>
      </c>
      <c r="I9" t="s">
        <v>367</v>
      </c>
    </row>
    <row r="10" spans="1:9" x14ac:dyDescent="0.35">
      <c r="A10">
        <v>29</v>
      </c>
      <c r="B10">
        <v>8</v>
      </c>
      <c r="C10" t="s">
        <v>381</v>
      </c>
      <c r="D10" t="s">
        <v>380</v>
      </c>
      <c r="E10" t="s">
        <v>416</v>
      </c>
      <c r="F10" t="s">
        <v>431</v>
      </c>
      <c r="H10" t="s">
        <v>378</v>
      </c>
      <c r="I10" t="s">
        <v>379</v>
      </c>
    </row>
    <row r="11" spans="1:9" x14ac:dyDescent="0.35">
      <c r="A11">
        <v>31</v>
      </c>
      <c r="B11">
        <v>9</v>
      </c>
      <c r="C11" t="s">
        <v>872</v>
      </c>
      <c r="D11" t="s">
        <v>875</v>
      </c>
      <c r="E11" t="s">
        <v>416</v>
      </c>
      <c r="F11" t="s">
        <v>424</v>
      </c>
      <c r="H11" t="s">
        <v>871</v>
      </c>
      <c r="I11" t="s">
        <v>876</v>
      </c>
    </row>
    <row r="12" spans="1:9" x14ac:dyDescent="0.35">
      <c r="A12">
        <v>32</v>
      </c>
      <c r="B12">
        <v>10</v>
      </c>
      <c r="C12" t="s">
        <v>873</v>
      </c>
      <c r="D12" t="s">
        <v>875</v>
      </c>
      <c r="E12" t="s">
        <v>416</v>
      </c>
      <c r="F12" t="s">
        <v>424</v>
      </c>
      <c r="H12" t="s">
        <v>877</v>
      </c>
      <c r="I12" t="s">
        <v>878</v>
      </c>
    </row>
    <row r="13" spans="1:9" x14ac:dyDescent="0.35">
      <c r="A13">
        <v>33</v>
      </c>
      <c r="B13">
        <v>11</v>
      </c>
      <c r="C13" t="s">
        <v>874</v>
      </c>
      <c r="D13" t="s">
        <v>875</v>
      </c>
      <c r="E13" t="s">
        <v>416</v>
      </c>
      <c r="F13" t="s">
        <v>424</v>
      </c>
      <c r="H13" t="s">
        <v>879</v>
      </c>
      <c r="I13" t="s">
        <v>880</v>
      </c>
    </row>
    <row r="14" spans="1:9" x14ac:dyDescent="0.35">
      <c r="A14">
        <v>30</v>
      </c>
      <c r="B14">
        <v>12</v>
      </c>
      <c r="C14" t="s">
        <v>384</v>
      </c>
      <c r="D14" t="s">
        <v>364</v>
      </c>
      <c r="E14" t="s">
        <v>416</v>
      </c>
      <c r="F14" t="s">
        <v>425</v>
      </c>
      <c r="H14" t="s">
        <v>382</v>
      </c>
      <c r="I14" t="s">
        <v>383</v>
      </c>
    </row>
    <row r="15" spans="1:9" x14ac:dyDescent="0.35">
      <c r="A15">
        <v>36</v>
      </c>
      <c r="B15">
        <v>13</v>
      </c>
      <c r="C15" t="s">
        <v>396</v>
      </c>
      <c r="D15" t="s">
        <v>395</v>
      </c>
      <c r="E15" t="s">
        <v>416</v>
      </c>
      <c r="F15" t="s">
        <v>425</v>
      </c>
      <c r="H15" t="s">
        <v>393</v>
      </c>
      <c r="I15" t="s">
        <v>394</v>
      </c>
    </row>
    <row r="16" spans="1:9" x14ac:dyDescent="0.35">
      <c r="A16">
        <v>2</v>
      </c>
      <c r="C16" t="s">
        <v>294</v>
      </c>
      <c r="D16" t="s">
        <v>293</v>
      </c>
      <c r="E16" t="s">
        <v>415</v>
      </c>
      <c r="F16" t="s">
        <v>420</v>
      </c>
      <c r="H16" t="s">
        <v>291</v>
      </c>
      <c r="I16" t="s">
        <v>292</v>
      </c>
    </row>
    <row r="17" spans="1:9" x14ac:dyDescent="0.35">
      <c r="A17">
        <v>8</v>
      </c>
      <c r="C17" t="s">
        <v>312</v>
      </c>
      <c r="D17" t="s">
        <v>302</v>
      </c>
      <c r="E17" t="s">
        <v>415</v>
      </c>
      <c r="F17" t="s">
        <v>412</v>
      </c>
      <c r="H17" t="s">
        <v>310</v>
      </c>
      <c r="I17" t="s">
        <v>311</v>
      </c>
    </row>
    <row r="18" spans="1:9" x14ac:dyDescent="0.35">
      <c r="A18">
        <v>11</v>
      </c>
      <c r="C18" t="s">
        <v>322</v>
      </c>
      <c r="D18" t="s">
        <v>321</v>
      </c>
      <c r="E18" t="s">
        <v>415</v>
      </c>
      <c r="F18" t="s">
        <v>427</v>
      </c>
      <c r="H18" t="s">
        <v>319</v>
      </c>
      <c r="I18" t="s">
        <v>320</v>
      </c>
    </row>
    <row r="19" spans="1:9" x14ac:dyDescent="0.35">
      <c r="A19">
        <v>13</v>
      </c>
      <c r="C19" t="s">
        <v>328</v>
      </c>
      <c r="D19" t="s">
        <v>321</v>
      </c>
      <c r="E19" t="s">
        <v>415</v>
      </c>
      <c r="F19" t="s">
        <v>412</v>
      </c>
      <c r="H19" t="s">
        <v>326</v>
      </c>
      <c r="I19" t="s">
        <v>327</v>
      </c>
    </row>
    <row r="20" spans="1:9" x14ac:dyDescent="0.35">
      <c r="A20">
        <v>27</v>
      </c>
      <c r="C20" t="s">
        <v>374</v>
      </c>
      <c r="D20" t="s">
        <v>364</v>
      </c>
      <c r="E20" t="s">
        <v>415</v>
      </c>
      <c r="F20" t="s">
        <v>412</v>
      </c>
      <c r="H20" t="s">
        <v>372</v>
      </c>
      <c r="I20" t="s">
        <v>373</v>
      </c>
    </row>
    <row r="21" spans="1:9" x14ac:dyDescent="0.35">
      <c r="A21">
        <v>21</v>
      </c>
      <c r="C21" t="s">
        <v>355</v>
      </c>
      <c r="D21" t="s">
        <v>345</v>
      </c>
      <c r="E21" t="s">
        <v>416</v>
      </c>
      <c r="F21" t="s">
        <v>424</v>
      </c>
      <c r="H21" t="s">
        <v>353</v>
      </c>
      <c r="I21" t="s">
        <v>354</v>
      </c>
    </row>
    <row r="22" spans="1:9" x14ac:dyDescent="0.35">
      <c r="A22">
        <v>4</v>
      </c>
      <c r="C22" t="s">
        <v>413</v>
      </c>
      <c r="D22" t="s">
        <v>293</v>
      </c>
      <c r="E22" t="s">
        <v>414</v>
      </c>
      <c r="F22" t="s">
        <v>422</v>
      </c>
      <c r="H22" t="s">
        <v>295</v>
      </c>
      <c r="I22" t="s">
        <v>296</v>
      </c>
    </row>
    <row r="23" spans="1:9" x14ac:dyDescent="0.35">
      <c r="A23">
        <v>5</v>
      </c>
      <c r="C23" t="s">
        <v>303</v>
      </c>
      <c r="D23" t="s">
        <v>302</v>
      </c>
      <c r="E23" t="s">
        <v>414</v>
      </c>
      <c r="F23" t="s">
        <v>423</v>
      </c>
      <c r="H23" t="s">
        <v>300</v>
      </c>
      <c r="I23" t="s">
        <v>301</v>
      </c>
    </row>
    <row r="24" spans="1:9" x14ac:dyDescent="0.35">
      <c r="A24">
        <v>7</v>
      </c>
      <c r="C24" t="s">
        <v>309</v>
      </c>
      <c r="D24" t="s">
        <v>302</v>
      </c>
      <c r="E24" t="s">
        <v>414</v>
      </c>
      <c r="F24" t="s">
        <v>423</v>
      </c>
      <c r="H24" t="s">
        <v>307</v>
      </c>
      <c r="I24" t="s">
        <v>308</v>
      </c>
    </row>
    <row r="25" spans="1:9" x14ac:dyDescent="0.35">
      <c r="A25">
        <v>10</v>
      </c>
      <c r="C25" t="s">
        <v>318</v>
      </c>
      <c r="D25" t="s">
        <v>302</v>
      </c>
      <c r="E25" t="s">
        <v>414</v>
      </c>
      <c r="F25" t="s">
        <v>426</v>
      </c>
      <c r="H25" t="s">
        <v>316</v>
      </c>
      <c r="I25" t="s">
        <v>317</v>
      </c>
    </row>
    <row r="26" spans="1:9" x14ac:dyDescent="0.35">
      <c r="A26">
        <v>14</v>
      </c>
      <c r="C26" t="s">
        <v>332</v>
      </c>
      <c r="D26" t="s">
        <v>331</v>
      </c>
      <c r="E26" t="s">
        <v>414</v>
      </c>
      <c r="F26" t="s">
        <v>426</v>
      </c>
      <c r="H26" t="s">
        <v>329</v>
      </c>
      <c r="I26" t="s">
        <v>330</v>
      </c>
    </row>
    <row r="27" spans="1:9" x14ac:dyDescent="0.35">
      <c r="A27">
        <v>19</v>
      </c>
      <c r="C27" t="s">
        <v>348</v>
      </c>
      <c r="D27" t="s">
        <v>345</v>
      </c>
      <c r="E27" t="s">
        <v>414</v>
      </c>
      <c r="F27" t="s">
        <v>426</v>
      </c>
      <c r="H27" t="s">
        <v>346</v>
      </c>
      <c r="I27" t="s">
        <v>347</v>
      </c>
    </row>
    <row r="28" spans="1:9" x14ac:dyDescent="0.35">
      <c r="A28">
        <v>15</v>
      </c>
      <c r="C28" t="s">
        <v>336</v>
      </c>
      <c r="D28" t="s">
        <v>335</v>
      </c>
      <c r="E28" t="s">
        <v>417</v>
      </c>
      <c r="F28" t="s">
        <v>428</v>
      </c>
      <c r="H28" t="s">
        <v>333</v>
      </c>
      <c r="I28" t="s">
        <v>334</v>
      </c>
    </row>
    <row r="29" spans="1:9" x14ac:dyDescent="0.35">
      <c r="A29">
        <v>16</v>
      </c>
      <c r="C29" t="s">
        <v>340</v>
      </c>
      <c r="D29" t="s">
        <v>339</v>
      </c>
      <c r="E29" t="s">
        <v>417</v>
      </c>
      <c r="F29" t="s">
        <v>429</v>
      </c>
      <c r="H29" t="s">
        <v>337</v>
      </c>
      <c r="I29" t="s">
        <v>338</v>
      </c>
    </row>
    <row r="30" spans="1:9" x14ac:dyDescent="0.35">
      <c r="A30">
        <v>17</v>
      </c>
      <c r="C30" t="s">
        <v>344</v>
      </c>
      <c r="D30" t="s">
        <v>343</v>
      </c>
      <c r="E30" t="s">
        <v>417</v>
      </c>
      <c r="F30" t="s">
        <v>429</v>
      </c>
      <c r="H30" t="s">
        <v>341</v>
      </c>
      <c r="I30" t="s">
        <v>342</v>
      </c>
    </row>
    <row r="31" spans="1:9" x14ac:dyDescent="0.35">
      <c r="A31">
        <v>22</v>
      </c>
      <c r="C31" t="s">
        <v>359</v>
      </c>
      <c r="D31" t="s">
        <v>358</v>
      </c>
      <c r="E31" t="s">
        <v>417</v>
      </c>
      <c r="F31" t="s">
        <v>430</v>
      </c>
      <c r="H31" t="s">
        <v>356</v>
      </c>
      <c r="I31" t="s">
        <v>357</v>
      </c>
    </row>
    <row r="32" spans="1:9" x14ac:dyDescent="0.35">
      <c r="A32">
        <v>24</v>
      </c>
      <c r="C32" t="s">
        <v>365</v>
      </c>
      <c r="D32" t="s">
        <v>364</v>
      </c>
      <c r="E32" t="s">
        <v>417</v>
      </c>
      <c r="F32" t="s">
        <v>430</v>
      </c>
      <c r="H32" t="s">
        <v>363</v>
      </c>
      <c r="I32" t="s">
        <v>324</v>
      </c>
    </row>
    <row r="33" spans="1:9" x14ac:dyDescent="0.35">
      <c r="A33">
        <v>26</v>
      </c>
      <c r="C33" t="s">
        <v>371</v>
      </c>
      <c r="D33" t="s">
        <v>364</v>
      </c>
      <c r="E33" t="s">
        <v>417</v>
      </c>
      <c r="F33" t="s">
        <v>428</v>
      </c>
      <c r="H33" t="s">
        <v>369</v>
      </c>
      <c r="I33" t="s">
        <v>370</v>
      </c>
    </row>
    <row r="34" spans="1:9" x14ac:dyDescent="0.35">
      <c r="A34">
        <v>28</v>
      </c>
      <c r="C34" t="s">
        <v>377</v>
      </c>
      <c r="D34" t="s">
        <v>364</v>
      </c>
      <c r="E34" t="s">
        <v>417</v>
      </c>
      <c r="F34" t="s">
        <v>428</v>
      </c>
      <c r="H34" t="s">
        <v>375</v>
      </c>
      <c r="I34" t="s">
        <v>376</v>
      </c>
    </row>
    <row r="35" spans="1:9" x14ac:dyDescent="0.35">
      <c r="A35">
        <v>34</v>
      </c>
      <c r="C35" t="s">
        <v>388</v>
      </c>
      <c r="D35" t="s">
        <v>387</v>
      </c>
      <c r="E35" t="s">
        <v>417</v>
      </c>
      <c r="F35" t="s">
        <v>428</v>
      </c>
      <c r="H35" t="s">
        <v>385</v>
      </c>
      <c r="I35" t="s">
        <v>386</v>
      </c>
    </row>
    <row r="36" spans="1:9" x14ac:dyDescent="0.35">
      <c r="A36">
        <v>35</v>
      </c>
      <c r="C36" t="s">
        <v>392</v>
      </c>
      <c r="D36" t="s">
        <v>391</v>
      </c>
      <c r="E36" t="s">
        <v>417</v>
      </c>
      <c r="F36" t="s">
        <v>429</v>
      </c>
      <c r="H36" t="s">
        <v>389</v>
      </c>
      <c r="I36" t="s">
        <v>390</v>
      </c>
    </row>
    <row r="37" spans="1:9" x14ac:dyDescent="0.35">
      <c r="A37">
        <v>37</v>
      </c>
      <c r="C37" t="s">
        <v>399</v>
      </c>
      <c r="D37" t="s">
        <v>395</v>
      </c>
      <c r="E37" t="s">
        <v>417</v>
      </c>
      <c r="F37" t="s">
        <v>432</v>
      </c>
      <c r="H37" t="s">
        <v>397</v>
      </c>
      <c r="I37" t="s">
        <v>398</v>
      </c>
    </row>
    <row r="38" spans="1:9" x14ac:dyDescent="0.35">
      <c r="A38">
        <v>38</v>
      </c>
      <c r="C38" t="s">
        <v>403</v>
      </c>
      <c r="D38" t="s">
        <v>402</v>
      </c>
      <c r="E38" t="s">
        <v>417</v>
      </c>
      <c r="F38" t="s">
        <v>433</v>
      </c>
      <c r="H38" t="s">
        <v>400</v>
      </c>
      <c r="I38" t="s">
        <v>401</v>
      </c>
    </row>
    <row r="39" spans="1:9" x14ac:dyDescent="0.35">
      <c r="A39">
        <v>39</v>
      </c>
      <c r="C39" t="s">
        <v>406</v>
      </c>
      <c r="D39" t="s">
        <v>402</v>
      </c>
      <c r="E39" t="s">
        <v>417</v>
      </c>
      <c r="F39" t="s">
        <v>433</v>
      </c>
      <c r="H39" t="s">
        <v>404</v>
      </c>
      <c r="I39" t="s">
        <v>405</v>
      </c>
    </row>
    <row r="40" spans="1:9" x14ac:dyDescent="0.35">
      <c r="A40">
        <v>40</v>
      </c>
      <c r="C40" t="s">
        <v>409</v>
      </c>
      <c r="D40" t="s">
        <v>402</v>
      </c>
      <c r="E40" t="s">
        <v>417</v>
      </c>
      <c r="F40" t="s">
        <v>433</v>
      </c>
      <c r="H40" t="s">
        <v>407</v>
      </c>
      <c r="I40" t="s">
        <v>408</v>
      </c>
    </row>
    <row r="41" spans="1:9" x14ac:dyDescent="0.35">
      <c r="A41">
        <v>1</v>
      </c>
      <c r="C41" t="s">
        <v>290</v>
      </c>
      <c r="D41" t="s">
        <v>410</v>
      </c>
      <c r="E41" t="s">
        <v>418</v>
      </c>
      <c r="H41" t="s">
        <v>288</v>
      </c>
      <c r="I41" t="s">
        <v>289</v>
      </c>
    </row>
    <row r="44" spans="1:9" s="53" customFormat="1" x14ac:dyDescent="0.35">
      <c r="C44" s="53" t="s">
        <v>481</v>
      </c>
    </row>
  </sheetData>
  <autoFilter ref="A2:I2" xr:uid="{E3FEAE8A-61A7-4719-B0CB-47B1C3EAB686}">
    <sortState xmlns:xlrd2="http://schemas.microsoft.com/office/spreadsheetml/2017/richdata2" ref="A3:I42">
      <sortCondition ref="B2"/>
    </sortState>
  </autoFilter>
  <dataValidations count="1">
    <dataValidation type="list" allowBlank="1" showInputMessage="1" showErrorMessage="1" sqref="C44" xr:uid="{AE44019C-828E-4FFD-90D9-057440D450CF}">
      <formula1>"ยกระดับฝีมือ , อาชีพเสริม , เตรียมเข้าทำงาน"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8958-B13C-4392-9AD6-20052D4C7DE5}">
  <dimension ref="B3:B8"/>
  <sheetViews>
    <sheetView workbookViewId="0">
      <selection activeCell="E10" sqref="E10"/>
    </sheetView>
  </sheetViews>
  <sheetFormatPr defaultRowHeight="21" x14ac:dyDescent="0.35"/>
  <sheetData>
    <row r="3" spans="2:2" x14ac:dyDescent="0.35">
      <c r="B3" t="s">
        <v>494</v>
      </c>
    </row>
    <row r="4" spans="2:2" x14ac:dyDescent="0.35">
      <c r="B4" t="s">
        <v>495</v>
      </c>
    </row>
    <row r="5" spans="2:2" x14ac:dyDescent="0.35">
      <c r="B5" t="s">
        <v>496</v>
      </c>
    </row>
    <row r="6" spans="2:2" x14ac:dyDescent="0.35">
      <c r="B6" t="s">
        <v>497</v>
      </c>
    </row>
    <row r="7" spans="2:2" x14ac:dyDescent="0.35">
      <c r="B7" t="s">
        <v>498</v>
      </c>
    </row>
    <row r="8" spans="2:2" x14ac:dyDescent="0.35">
      <c r="B8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15</vt:i4>
      </vt:variant>
      <vt:variant>
        <vt:lpstr>ช่วงที่มีชื่อ</vt:lpstr>
      </vt:variant>
      <vt:variant>
        <vt:i4>14</vt:i4>
      </vt:variant>
    </vt:vector>
  </HeadingPairs>
  <TitlesOfParts>
    <vt:vector size="29" baseType="lpstr">
      <vt:lpstr>รายการฝึก</vt:lpstr>
      <vt:lpstr>รายการผู้สมัคร</vt:lpstr>
      <vt:lpstr>รายการยืมเงิน</vt:lpstr>
      <vt:lpstr>ข้อมูลเอกสารฝึก</vt:lpstr>
      <vt:lpstr>ข้อมุลเอกสารยืมเงิน</vt:lpstr>
      <vt:lpstr>ใบสำคัญรับเงินวิทยากร</vt:lpstr>
      <vt:lpstr>Sheet1</vt:lpstr>
      <vt:lpstr>หลักสูตร</vt:lpstr>
      <vt:lpstr>สถานที่ฝึก</vt:lpstr>
      <vt:lpstr>วิทยากร</vt:lpstr>
      <vt:lpstr>รายการค่าใช้จ่าย</vt:lpstr>
      <vt:lpstr>กิจกรรม</vt:lpstr>
      <vt:lpstr>วิทยากร เก่า</vt:lpstr>
      <vt:lpstr>เจ้าหน้าที่</vt:lpstr>
      <vt:lpstr>สูตร</vt:lpstr>
      <vt:lpstr>Sheet1!Print_Area</vt:lpstr>
      <vt:lpstr>ใบสำคัญรับเงินวิทยากร!Print_Area</vt:lpstr>
      <vt:lpstr>กิจกรรมฝึก</vt:lpstr>
      <vt:lpstr>เจ้าหน้าที่</vt:lpstr>
      <vt:lpstr>ชื่อกิจกรรม</vt:lpstr>
      <vt:lpstr>ชื่อเจ้าหน้าที่</vt:lpstr>
      <vt:lpstr>ชื่อวิทยากร</vt:lpstr>
      <vt:lpstr>ชื่อสถานที่ฝึก</vt:lpstr>
      <vt:lpstr>ชื่อหลักสูตร</vt:lpstr>
      <vt:lpstr>รายการผู้สมัคร</vt:lpstr>
      <vt:lpstr>รายการยืมเงิน</vt:lpstr>
      <vt:lpstr>รุ่นที่ฝึก</vt:lpstr>
      <vt:lpstr>วิทยากร</vt:lpstr>
      <vt:lpstr>หลักสูตร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surat ritthidumrongkarn</dc:creator>
  <cp:lastModifiedBy>DSD 1</cp:lastModifiedBy>
  <cp:lastPrinted>2025-12-16T08:45:03Z</cp:lastPrinted>
  <dcterms:created xsi:type="dcterms:W3CDTF">2025-01-23T15:19:01Z</dcterms:created>
  <dcterms:modified xsi:type="dcterms:W3CDTF">2026-01-30T02:08:11Z</dcterms:modified>
</cp:coreProperties>
</file>